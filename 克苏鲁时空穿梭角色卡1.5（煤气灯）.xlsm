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hichimiya Satone\2015\克苏鲁时空穿梭\"/>
    </mc:Choice>
  </mc:AlternateContent>
  <bookViews>
    <workbookView xWindow="24300" yWindow="105" windowWidth="19335" windowHeight="9810" tabRatio="836"/>
  </bookViews>
  <sheets>
    <sheet name="建卡" sheetId="1" r:id="rId1"/>
    <sheet name="◆主要表◆" sheetId="9" r:id="rId2"/>
    <sheet name="本职技能" sheetId="6" r:id="rId3"/>
    <sheet name="伙伴" sheetId="12" r:id="rId4"/>
    <sheet name="道具" sheetId="11" r:id="rId5"/>
    <sheet name="武器" sheetId="10" r:id="rId6"/>
    <sheet name="注释" sheetId="15" r:id="rId7"/>
    <sheet name="￡" sheetId="4" r:id="rId8"/>
    <sheet name="TXT导出" sheetId="16" r:id="rId9"/>
  </sheets>
  <functionGroups builtInGroupCount="18"/>
  <definedNames>
    <definedName name="age">建卡!$D$6</definedName>
    <definedName name="app">建卡!$X$5</definedName>
    <definedName name="brawl">◆主要表◆!$H$31</definedName>
    <definedName name="build">IF((cstr+csiz&gt;=165),2+INT((cstr+csiz-125)/80),IF(cstr+csiz&gt;=125,1,IF(cstr+csiz&gt;=85,0,IF(cstr+csiz&gt;=65,-1,-2))))</definedName>
    <definedName name="capp">◆主要表◆!$U$5</definedName>
    <definedName name="ccon">◆主要表◆!$N$5</definedName>
    <definedName name="cdex">◆主要表◆!$U$3</definedName>
    <definedName name="cedu">◆主要表◆!$AB$5</definedName>
    <definedName name="cint">◆主要表◆!$U$7</definedName>
    <definedName name="classes">本职技能!$A:$AA</definedName>
    <definedName name="con">建卡!$R$5</definedName>
    <definedName name="cpow">◆主要表◆!$AB$3</definedName>
    <definedName name="crd">建卡!$Q$25</definedName>
    <definedName name="csiz">◆主要表◆!$N$7</definedName>
    <definedName name="cstr">◆主要表◆!$N$3</definedName>
    <definedName name="cthmy">◆主要表◆!$H$26</definedName>
    <definedName name="dex">建卡!$X$3</definedName>
    <definedName name="dmgbonus">IF(build&lt;0,TEXT(build,0),IF(build=0,"±0",IF(build=1,"+1D4","+"&amp;TEXT(build-1,0)&amp;"D6")))</definedName>
    <definedName name="dodge">◆主要表◆!$H$28</definedName>
    <definedName name="edu">建卡!$AD$5</definedName>
    <definedName name="hp">◆主要表◆!$L$9</definedName>
    <definedName name="int">建卡!$X$7</definedName>
    <definedName name="luck">◆主要表◆!$X$9</definedName>
    <definedName name="maxhp">INT((csiz+ccon)/10)</definedName>
    <definedName name="maxmp">pow/5</definedName>
    <definedName name="mp">◆主要表◆!$P$9</definedName>
    <definedName name="ownlan">建卡!$D$7</definedName>
    <definedName name="ownlan_m">◆主要表◆!$Q$23</definedName>
    <definedName name="pow">建卡!$AD$3</definedName>
    <definedName name="san">◆主要表◆!$T$9</definedName>
    <definedName name="siz">建卡!$R$7</definedName>
    <definedName name="str">建卡!$R$3</definedName>
  </definedNames>
  <calcPr calcId="152511"/>
</workbook>
</file>

<file path=xl/calcChain.xml><?xml version="1.0" encoding="utf-8"?>
<calcChain xmlns="http://schemas.openxmlformats.org/spreadsheetml/2006/main">
  <c r="AH35" i="9" l="1"/>
  <c r="AD28" i="9" l="1"/>
  <c r="AD26" i="9"/>
  <c r="AK15" i="9" l="1"/>
  <c r="AJ15" i="9"/>
  <c r="A135" i="16" l="1"/>
  <c r="J58" i="1"/>
  <c r="AK17" i="9" l="1"/>
  <c r="AJ17" i="9"/>
  <c r="AA16" i="9"/>
  <c r="AB16" i="9"/>
  <c r="AA17" i="9"/>
  <c r="AB17" i="9"/>
  <c r="AA18" i="9"/>
  <c r="AB18" i="9"/>
  <c r="AA19" i="9"/>
  <c r="AB19" i="9"/>
  <c r="AA20" i="9"/>
  <c r="AB20" i="9"/>
  <c r="AA21" i="9"/>
  <c r="AB21" i="9"/>
  <c r="AA22" i="9"/>
  <c r="AB22" i="9"/>
  <c r="AA23" i="9"/>
  <c r="AB23" i="9"/>
  <c r="AA24" i="9"/>
  <c r="AB24" i="9"/>
  <c r="AA25" i="9"/>
  <c r="AB25" i="9"/>
  <c r="AA26" i="9"/>
  <c r="AB26" i="9"/>
  <c r="AA27" i="9"/>
  <c r="AB27" i="9"/>
  <c r="AA30" i="9"/>
  <c r="AB30" i="9"/>
  <c r="AA31" i="9"/>
  <c r="AB31" i="9"/>
  <c r="AA32" i="9"/>
  <c r="AB32" i="9"/>
  <c r="AA33" i="9"/>
  <c r="AB33" i="9"/>
  <c r="AA34" i="9"/>
  <c r="AB34" i="9"/>
  <c r="AA35" i="9"/>
  <c r="AB35" i="9"/>
  <c r="AB15" i="9"/>
  <c r="AA15" i="9"/>
  <c r="R16" i="9"/>
  <c r="S16" i="9"/>
  <c r="R17" i="9"/>
  <c r="S17" i="9"/>
  <c r="R18" i="9"/>
  <c r="S18" i="9"/>
  <c r="R19" i="9"/>
  <c r="S19" i="9"/>
  <c r="R20" i="9"/>
  <c r="S20" i="9"/>
  <c r="R21" i="9"/>
  <c r="S21" i="9"/>
  <c r="R22" i="9"/>
  <c r="S22" i="9"/>
  <c r="R23" i="9"/>
  <c r="S23" i="9"/>
  <c r="R24" i="9"/>
  <c r="S24" i="9"/>
  <c r="R25" i="9"/>
  <c r="S25" i="9"/>
  <c r="R26" i="9"/>
  <c r="S26" i="9"/>
  <c r="R27" i="9"/>
  <c r="S27" i="9"/>
  <c r="R28" i="9"/>
  <c r="S28" i="9"/>
  <c r="R29" i="9"/>
  <c r="S29" i="9"/>
  <c r="R30" i="9"/>
  <c r="S30" i="9"/>
  <c r="R31" i="9"/>
  <c r="S31" i="9"/>
  <c r="R32" i="9"/>
  <c r="S32" i="9"/>
  <c r="R33" i="9"/>
  <c r="S33" i="9"/>
  <c r="R34" i="9"/>
  <c r="S34" i="9"/>
  <c r="R35" i="9"/>
  <c r="S35" i="9"/>
  <c r="S15" i="9"/>
  <c r="R15" i="9"/>
  <c r="I16" i="9"/>
  <c r="J16" i="9"/>
  <c r="I17" i="9"/>
  <c r="J17" i="9"/>
  <c r="I18" i="9"/>
  <c r="J18" i="9"/>
  <c r="I19" i="9"/>
  <c r="J19" i="9"/>
  <c r="I20" i="9"/>
  <c r="J20" i="9"/>
  <c r="I21" i="9"/>
  <c r="J21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32" i="9"/>
  <c r="J32" i="9"/>
  <c r="I33" i="9"/>
  <c r="J33" i="9"/>
  <c r="I34" i="9"/>
  <c r="J34" i="9"/>
  <c r="I35" i="9"/>
  <c r="J35" i="9"/>
  <c r="J15" i="9"/>
  <c r="I15" i="9"/>
  <c r="A11" i="16" l="1"/>
  <c r="A12" i="16"/>
  <c r="A13" i="16"/>
  <c r="A10" i="16"/>
  <c r="D9" i="9" l="1"/>
  <c r="B12" i="1"/>
  <c r="A111" i="16"/>
  <c r="B27" i="1"/>
  <c r="A114" i="16"/>
  <c r="A115" i="16" l="1"/>
  <c r="A113" i="16"/>
  <c r="AF35" i="9"/>
  <c r="B11" i="6" l="1"/>
  <c r="G8" i="6"/>
  <c r="B20" i="6"/>
  <c r="B21" i="6"/>
  <c r="B29" i="6"/>
  <c r="B17" i="6"/>
  <c r="B4" i="6"/>
  <c r="B16" i="6"/>
  <c r="J12" i="6"/>
  <c r="B12" i="6"/>
  <c r="G23" i="6"/>
  <c r="B23" i="6"/>
  <c r="G10" i="6"/>
  <c r="B10" i="6"/>
  <c r="B25" i="6"/>
  <c r="B13" i="6"/>
  <c r="B3" i="6"/>
  <c r="B8" i="6"/>
  <c r="B6" i="6"/>
  <c r="B18" i="6"/>
  <c r="B26" i="6"/>
  <c r="B24" i="6"/>
  <c r="B5" i="6"/>
  <c r="B14" i="6"/>
  <c r="J30" i="6"/>
  <c r="B30" i="6"/>
  <c r="B27" i="6"/>
  <c r="B22" i="6"/>
  <c r="B19" i="6" l="1"/>
  <c r="B9" i="6"/>
  <c r="B28" i="6"/>
  <c r="B7" i="6"/>
  <c r="B15" i="6"/>
  <c r="AD49" i="1"/>
  <c r="AF49" i="1"/>
  <c r="AG49" i="1"/>
  <c r="H6" i="4"/>
  <c r="H5" i="4" s="1"/>
  <c r="I5" i="4" l="1"/>
  <c r="J5" i="4" s="1"/>
  <c r="AD24" i="9"/>
  <c r="AD21" i="9" l="1"/>
  <c r="A99" i="16" l="1"/>
  <c r="A98" i="16"/>
  <c r="A102" i="16" l="1"/>
  <c r="A103" i="16"/>
  <c r="A104" i="16"/>
  <c r="A105" i="16"/>
  <c r="A106" i="16"/>
  <c r="A107" i="16"/>
  <c r="A108" i="16"/>
  <c r="A109" i="16"/>
  <c r="A110" i="16"/>
  <c r="A101" i="16"/>
  <c r="A9" i="16"/>
  <c r="A8" i="16"/>
  <c r="A124" i="16"/>
  <c r="A125" i="16"/>
  <c r="A126" i="16"/>
  <c r="A127" i="16"/>
  <c r="A117" i="16"/>
  <c r="A118" i="16"/>
  <c r="A119" i="16"/>
  <c r="A120" i="16"/>
  <c r="A121" i="16"/>
  <c r="A122" i="16"/>
  <c r="A123" i="16"/>
  <c r="A116" i="16"/>
  <c r="A5" i="16" l="1"/>
  <c r="D5" i="9"/>
  <c r="A4" i="16" l="1"/>
  <c r="AC5" i="1"/>
  <c r="AC3" i="1"/>
  <c r="W7" i="1"/>
  <c r="W5" i="1"/>
  <c r="W3" i="1"/>
  <c r="Q7" i="1"/>
  <c r="Q5" i="1"/>
  <c r="Q3" i="1"/>
  <c r="A6" i="16"/>
  <c r="A3" i="16"/>
  <c r="A2" i="16"/>
  <c r="A1" i="16"/>
  <c r="R23" i="1"/>
  <c r="L23" i="9" s="1"/>
  <c r="H6" i="9"/>
  <c r="A7" i="16" s="1"/>
  <c r="D4" i="9"/>
  <c r="D3" i="9"/>
  <c r="AG33" i="1"/>
  <c r="AG34" i="1"/>
  <c r="AG35" i="1"/>
  <c r="AG32" i="1"/>
  <c r="Q24" i="1"/>
  <c r="F55" i="9"/>
  <c r="L35" i="9"/>
  <c r="A73" i="16" s="1"/>
  <c r="L34" i="9"/>
  <c r="L33" i="9"/>
  <c r="A133" i="16"/>
  <c r="A132" i="16"/>
  <c r="A131" i="16"/>
  <c r="A130" i="16"/>
  <c r="A129" i="16"/>
  <c r="AF12" i="1"/>
  <c r="U18" i="9"/>
  <c r="A77" i="16" s="1"/>
  <c r="U17" i="9"/>
  <c r="U16" i="9"/>
  <c r="U15" i="9"/>
  <c r="U35" i="9"/>
  <c r="A94" i="16" s="1"/>
  <c r="U34" i="9"/>
  <c r="A93" i="16" s="1"/>
  <c r="U33" i="9"/>
  <c r="A92" i="16" s="1"/>
  <c r="U32" i="9"/>
  <c r="A91" i="16" s="1"/>
  <c r="U31" i="9"/>
  <c r="A90" i="16" s="1"/>
  <c r="U30" i="9"/>
  <c r="A89" i="16" s="1"/>
  <c r="U29" i="9"/>
  <c r="A88" i="16" s="1"/>
  <c r="U27" i="9"/>
  <c r="U26" i="9"/>
  <c r="U25" i="9"/>
  <c r="U24" i="9"/>
  <c r="A83" i="16" s="1"/>
  <c r="U23" i="9"/>
  <c r="U22" i="9"/>
  <c r="U21" i="9"/>
  <c r="U20" i="9"/>
  <c r="A79" i="16" s="1"/>
  <c r="U19" i="9"/>
  <c r="A78" i="16" s="1"/>
  <c r="C35" i="9"/>
  <c r="C34" i="9"/>
  <c r="C33" i="9"/>
  <c r="A50" i="16" s="1"/>
  <c r="C32" i="9"/>
  <c r="A49" i="16" s="1"/>
  <c r="C31" i="9"/>
  <c r="C30" i="9"/>
  <c r="C29" i="9"/>
  <c r="C28" i="9"/>
  <c r="C27" i="9"/>
  <c r="C26" i="9"/>
  <c r="C25" i="9"/>
  <c r="C24" i="9"/>
  <c r="C23" i="9"/>
  <c r="C22" i="9"/>
  <c r="C21" i="9"/>
  <c r="A38" i="16" s="1"/>
  <c r="C20" i="9"/>
  <c r="A37" i="16" s="1"/>
  <c r="C19" i="9"/>
  <c r="C18" i="9"/>
  <c r="C17" i="9"/>
  <c r="C16" i="9"/>
  <c r="C15" i="9"/>
  <c r="L32" i="9"/>
  <c r="L31" i="9"/>
  <c r="L30" i="9"/>
  <c r="L29" i="9"/>
  <c r="L28" i="9"/>
  <c r="L27" i="9"/>
  <c r="L26" i="9"/>
  <c r="L25" i="9"/>
  <c r="L24" i="9"/>
  <c r="L22" i="9"/>
  <c r="A60" i="16" s="1"/>
  <c r="L21" i="9"/>
  <c r="A59" i="16" s="1"/>
  <c r="L20" i="9"/>
  <c r="A58" i="16" s="1"/>
  <c r="L19" i="9"/>
  <c r="L18" i="9"/>
  <c r="L17" i="9"/>
  <c r="L16" i="9"/>
  <c r="L15" i="9"/>
  <c r="A53" i="16" s="1"/>
  <c r="AG17" i="1"/>
  <c r="X17" i="9" s="1"/>
  <c r="Y21" i="1"/>
  <c r="O21" i="9" s="1"/>
  <c r="D8" i="1"/>
  <c r="D6" i="9"/>
  <c r="AJ20" i="9"/>
  <c r="AF20" i="9"/>
  <c r="AJ19" i="9"/>
  <c r="AF19" i="9"/>
  <c r="AF17" i="9"/>
  <c r="AC8" i="1"/>
  <c r="Q25" i="1"/>
  <c r="X32" i="9"/>
  <c r="AG31" i="1"/>
  <c r="X31" i="9" s="1"/>
  <c r="AG30" i="1"/>
  <c r="X30" i="9" s="1"/>
  <c r="AG29" i="1"/>
  <c r="F21" i="1"/>
  <c r="Z9" i="1"/>
  <c r="X9" i="9" s="1"/>
  <c r="Z28" i="1"/>
  <c r="AC28" i="1" s="1"/>
  <c r="AG19" i="1"/>
  <c r="X19" i="9" s="1"/>
  <c r="AG20" i="1"/>
  <c r="X20" i="9" s="1"/>
  <c r="AG18" i="1"/>
  <c r="X18" i="9" s="1"/>
  <c r="AG27" i="1"/>
  <c r="X27" i="9" s="1"/>
  <c r="AG26" i="1"/>
  <c r="AG25" i="1"/>
  <c r="X25" i="9" s="1"/>
  <c r="AG24" i="1"/>
  <c r="AG23" i="1"/>
  <c r="AG22" i="1"/>
  <c r="AG21" i="1"/>
  <c r="AG16" i="1"/>
  <c r="X16" i="9" s="1"/>
  <c r="Y24" i="1"/>
  <c r="Y25" i="1"/>
  <c r="O25" i="9" s="1"/>
  <c r="Y26" i="1"/>
  <c r="O26" i="9" s="1"/>
  <c r="Y27" i="1"/>
  <c r="O27" i="9" s="1"/>
  <c r="Y28" i="1"/>
  <c r="Y29" i="1"/>
  <c r="O29" i="9" s="1"/>
  <c r="Y30" i="1"/>
  <c r="O30" i="9" s="1"/>
  <c r="Y31" i="1"/>
  <c r="O31" i="9" s="1"/>
  <c r="Y32" i="1"/>
  <c r="Y33" i="1"/>
  <c r="O33" i="9" s="1"/>
  <c r="Y34" i="1"/>
  <c r="O34" i="9" s="1"/>
  <c r="Y35" i="1"/>
  <c r="O35" i="9" s="1"/>
  <c r="AG15" i="1"/>
  <c r="Q26" i="1"/>
  <c r="F26" i="9" s="1"/>
  <c r="Q29" i="1"/>
  <c r="F29" i="9" s="1"/>
  <c r="Q30" i="1"/>
  <c r="F30" i="9" s="1"/>
  <c r="Q31" i="1"/>
  <c r="Q32" i="1"/>
  <c r="F32" i="9" s="1"/>
  <c r="Q33" i="1"/>
  <c r="Q34" i="1"/>
  <c r="F34" i="9" s="1"/>
  <c r="Q35" i="1"/>
  <c r="F35" i="9" s="1"/>
  <c r="Y15" i="1"/>
  <c r="O15" i="9" s="1"/>
  <c r="Y16" i="1"/>
  <c r="Y17" i="1"/>
  <c r="O17" i="9" s="1"/>
  <c r="Y18" i="1"/>
  <c r="B24" i="1"/>
  <c r="B25" i="1"/>
  <c r="B23" i="1"/>
  <c r="B22" i="1"/>
  <c r="B21" i="1"/>
  <c r="B20" i="1"/>
  <c r="B26" i="1"/>
  <c r="B19" i="1"/>
  <c r="Y22" i="1"/>
  <c r="O22" i="9" s="1"/>
  <c r="Y20" i="1"/>
  <c r="Y19" i="1"/>
  <c r="O19" i="9" s="1"/>
  <c r="A26" i="16"/>
  <c r="V49" i="1" l="1"/>
  <c r="N49" i="1"/>
  <c r="B1" i="9"/>
  <c r="B1" i="16"/>
  <c r="F24" i="9"/>
  <c r="F19" i="1"/>
  <c r="AO11" i="9"/>
  <c r="F49" i="1"/>
  <c r="AF34" i="9" s="1"/>
  <c r="Z16" i="9"/>
  <c r="A75" i="16" s="1"/>
  <c r="X23" i="9"/>
  <c r="Z23" i="9" s="1"/>
  <c r="A82" i="16" s="1"/>
  <c r="Q33" i="9"/>
  <c r="Q25" i="9"/>
  <c r="A63" i="16" s="1"/>
  <c r="Q17" i="9"/>
  <c r="A55" i="16" s="1"/>
  <c r="Z19" i="9"/>
  <c r="Z32" i="9"/>
  <c r="F31" i="9"/>
  <c r="H31" i="9" s="1"/>
  <c r="A48" i="16" s="1"/>
  <c r="O18" i="9"/>
  <c r="Q18" i="9" s="1"/>
  <c r="A56" i="16" s="1"/>
  <c r="X22" i="9"/>
  <c r="Z22" i="9" s="1"/>
  <c r="A81" i="16" s="1"/>
  <c r="X26" i="9"/>
  <c r="Z26" i="9" s="1"/>
  <c r="A85" i="16" s="1"/>
  <c r="X35" i="9"/>
  <c r="Z35" i="9" s="1"/>
  <c r="H29" i="9"/>
  <c r="A46" i="16" s="1"/>
  <c r="Z27" i="9"/>
  <c r="A86" i="16" s="1"/>
  <c r="Q22" i="9"/>
  <c r="H35" i="9"/>
  <c r="A52" i="16" s="1"/>
  <c r="Q35" i="9"/>
  <c r="Q31" i="9"/>
  <c r="A69" i="16" s="1"/>
  <c r="Q27" i="9"/>
  <c r="Z31" i="9"/>
  <c r="X21" i="9"/>
  <c r="Z21" i="9" s="1"/>
  <c r="A80" i="16" s="1"/>
  <c r="X34" i="9"/>
  <c r="Z34" i="9" s="1"/>
  <c r="Q29" i="9"/>
  <c r="Q21" i="9"/>
  <c r="Q19" i="9"/>
  <c r="A57" i="16" s="1"/>
  <c r="Q15" i="9"/>
  <c r="H32" i="9"/>
  <c r="Z17" i="9"/>
  <c r="A76" i="16" s="1"/>
  <c r="Z18" i="9"/>
  <c r="Z30" i="9"/>
  <c r="H26" i="9"/>
  <c r="A43" i="16" s="1"/>
  <c r="F25" i="9"/>
  <c r="H25" i="9" s="1"/>
  <c r="A42" i="16" s="1"/>
  <c r="F33" i="9"/>
  <c r="H33" i="9" s="1"/>
  <c r="O16" i="9"/>
  <c r="Q16" i="9" s="1"/>
  <c r="A54" i="16" s="1"/>
  <c r="O20" i="9"/>
  <c r="Q20" i="9" s="1"/>
  <c r="O24" i="9"/>
  <c r="O28" i="9"/>
  <c r="Q28" i="9" s="1"/>
  <c r="A66" i="16" s="1"/>
  <c r="O32" i="9"/>
  <c r="Q32" i="9" s="1"/>
  <c r="A70" i="16" s="1"/>
  <c r="X24" i="9"/>
  <c r="Z24" i="9" s="1"/>
  <c r="X29" i="9"/>
  <c r="Z29" i="9" s="1"/>
  <c r="X33" i="9"/>
  <c r="Z33" i="9" s="1"/>
  <c r="X15" i="9"/>
  <c r="Z15" i="9" s="1"/>
  <c r="A74" i="16" s="1"/>
  <c r="U28" i="9"/>
  <c r="A87" i="16" s="1"/>
  <c r="Z25" i="9"/>
  <c r="A84" i="16" s="1"/>
  <c r="Q34" i="9"/>
  <c r="Q30" i="9"/>
  <c r="A68" i="16" s="1"/>
  <c r="Q26" i="9"/>
  <c r="A64" i="16" s="1"/>
  <c r="H34" i="9"/>
  <c r="A51" i="16" s="1"/>
  <c r="H30" i="9"/>
  <c r="A47" i="16" s="1"/>
  <c r="Z20" i="9"/>
  <c r="AG28" i="1"/>
  <c r="AB29" i="9" l="1"/>
  <c r="AA29" i="9"/>
  <c r="A72" i="16"/>
  <c r="A67" i="16"/>
  <c r="A65" i="16"/>
  <c r="A71" i="16"/>
  <c r="R10" i="9"/>
  <c r="C2" i="10"/>
  <c r="X28" i="9"/>
  <c r="Z28" i="9" s="1"/>
  <c r="Q16" i="1"/>
  <c r="Q17" i="1"/>
  <c r="Q18" i="1"/>
  <c r="Q19" i="1"/>
  <c r="Q20" i="1"/>
  <c r="Q21" i="1"/>
  <c r="Q22" i="1"/>
  <c r="Q23" i="1"/>
  <c r="H24" i="9"/>
  <c r="A41" i="16" s="1"/>
  <c r="Q15" i="1"/>
  <c r="AA28" i="9" l="1"/>
  <c r="AB28" i="9"/>
  <c r="AI17" i="9"/>
  <c r="A97" i="16"/>
  <c r="F18" i="9"/>
  <c r="H18" i="9" s="1"/>
  <c r="A35" i="16" s="1"/>
  <c r="F23" i="9"/>
  <c r="H23" i="9" s="1"/>
  <c r="A40" i="16" s="1"/>
  <c r="F19" i="9"/>
  <c r="H19" i="9" s="1"/>
  <c r="A36" i="16" s="1"/>
  <c r="F15" i="9"/>
  <c r="H15" i="9" s="1"/>
  <c r="A32" i="16" s="1"/>
  <c r="F21" i="9"/>
  <c r="H21" i="9" s="1"/>
  <c r="F17" i="9"/>
  <c r="H17" i="9" s="1"/>
  <c r="A34" i="16" s="1"/>
  <c r="F22" i="9"/>
  <c r="H22" i="9" s="1"/>
  <c r="A39" i="16" s="1"/>
  <c r="F20" i="9"/>
  <c r="H20" i="9" s="1"/>
  <c r="F16" i="9"/>
  <c r="H16" i="9" s="1"/>
  <c r="A33" i="16" s="1"/>
  <c r="AD5" i="1"/>
  <c r="AD3" i="1"/>
  <c r="T9" i="9" s="1"/>
  <c r="A30" i="16" s="1"/>
  <c r="X7" i="1"/>
  <c r="X5" i="1"/>
  <c r="X3" i="1"/>
  <c r="M28" i="1" s="1"/>
  <c r="Q28" i="1" s="1"/>
  <c r="F28" i="9" s="1"/>
  <c r="R7" i="1"/>
  <c r="R5" i="1"/>
  <c r="A25" i="16"/>
  <c r="AO10" i="9" l="1"/>
  <c r="U23" i="1"/>
  <c r="Y23" i="1" s="1"/>
  <c r="AA5" i="9"/>
  <c r="AB5" i="9" s="1"/>
  <c r="A22" i="16" s="1"/>
  <c r="T9" i="1"/>
  <c r="AA3" i="9"/>
  <c r="AB3" i="9" s="1"/>
  <c r="A21" i="16" s="1"/>
  <c r="T5" i="9"/>
  <c r="U5" i="9" s="1"/>
  <c r="A19" i="16" s="1"/>
  <c r="T7" i="9"/>
  <c r="U7" i="9" s="1"/>
  <c r="A20" i="16" s="1"/>
  <c r="N10" i="9"/>
  <c r="R3" i="1"/>
  <c r="AF6" i="1"/>
  <c r="M5" i="9"/>
  <c r="N5" i="9" s="1"/>
  <c r="A16" i="16" s="1"/>
  <c r="M7" i="9"/>
  <c r="N7" i="9" s="1"/>
  <c r="A17" i="16" s="1"/>
  <c r="T3" i="9"/>
  <c r="U3" i="9" s="1"/>
  <c r="A18" i="16" s="1"/>
  <c r="P9" i="1"/>
  <c r="F16" i="1"/>
  <c r="F17" i="1" s="1"/>
  <c r="Q27" i="1"/>
  <c r="F27" i="9" s="1"/>
  <c r="P9" i="9" l="1"/>
  <c r="L9" i="9"/>
  <c r="O23" i="9"/>
  <c r="Q23" i="9" s="1"/>
  <c r="A61" i="16" s="1"/>
  <c r="L9" i="1"/>
  <c r="F14" i="1"/>
  <c r="B2" i="6"/>
  <c r="P5" i="9"/>
  <c r="P6" i="9"/>
  <c r="P8" i="9"/>
  <c r="P7" i="9"/>
  <c r="AD5" i="9"/>
  <c r="AD6" i="9"/>
  <c r="W3" i="9"/>
  <c r="W4" i="9"/>
  <c r="W5" i="9"/>
  <c r="W6" i="9"/>
  <c r="W8" i="9"/>
  <c r="W7" i="9"/>
  <c r="AD4" i="9"/>
  <c r="AD3" i="9"/>
  <c r="J10" i="9"/>
  <c r="M3" i="9"/>
  <c r="N3" i="9" s="1"/>
  <c r="AD10" i="1"/>
  <c r="AD9" i="1" s="1"/>
  <c r="AC7" i="1"/>
  <c r="AD7" i="1" s="1"/>
  <c r="Q24" i="9"/>
  <c r="A62" i="16" s="1"/>
  <c r="H28" i="9"/>
  <c r="A45" i="16" s="1"/>
  <c r="H27" i="9"/>
  <c r="A44" i="16" s="1"/>
  <c r="A24" i="16"/>
  <c r="A23" i="16"/>
  <c r="A15" i="16" l="1"/>
  <c r="A28" i="16"/>
  <c r="AO9" i="9"/>
  <c r="AO8" i="9"/>
  <c r="AA7" i="9"/>
  <c r="AB7" i="9" s="1"/>
  <c r="A27" i="16" s="1"/>
  <c r="P3" i="9"/>
  <c r="P4" i="9"/>
  <c r="AB10" i="9"/>
  <c r="A29" i="16" s="1"/>
  <c r="AF18" i="9"/>
  <c r="AB9" i="9"/>
  <c r="F13" i="1"/>
  <c r="F15" i="1" s="1"/>
  <c r="AI15" i="9"/>
  <c r="B34" i="1" l="1"/>
  <c r="A95" i="16"/>
</calcChain>
</file>

<file path=xl/comments1.xml><?xml version="1.0" encoding="utf-8"?>
<comments xmlns="http://schemas.openxmlformats.org/spreadsheetml/2006/main">
  <authors>
    <author>粉毛提督七宫涟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注意，只有</t>
        </r>
        <r>
          <rPr>
            <sz val="9"/>
            <color indexed="81"/>
            <rFont val="Tahoma"/>
            <family val="2"/>
          </rPr>
          <t>ID2</t>
        </r>
        <r>
          <rPr>
            <sz val="9"/>
            <color indexed="81"/>
            <rFont val="宋体"/>
            <family val="3"/>
            <charset val="134"/>
          </rPr>
          <t>～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>的伙伴会列在</t>
        </r>
        <r>
          <rPr>
            <sz val="9"/>
            <color indexed="81"/>
            <rFont val="Tahoma"/>
            <family val="2"/>
          </rPr>
          <t>TXT</t>
        </r>
        <r>
          <rPr>
            <sz val="9"/>
            <color indexed="81"/>
            <rFont val="宋体"/>
            <family val="3"/>
            <charset val="134"/>
          </rPr>
          <t>卡当中。</t>
        </r>
      </text>
    </comment>
  </commentList>
</comments>
</file>

<file path=xl/comments2.xml><?xml version="1.0" encoding="utf-8"?>
<comments xmlns="http://schemas.openxmlformats.org/spreadsheetml/2006/main">
  <authors>
    <author>粉毛提督七宫涟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注意，只有</t>
        </r>
        <r>
          <rPr>
            <sz val="9"/>
            <color indexed="81"/>
            <rFont val="Tahoma"/>
            <family val="2"/>
          </rPr>
          <t>ID2</t>
        </r>
        <r>
          <rPr>
            <sz val="9"/>
            <color indexed="81"/>
            <rFont val="宋体"/>
            <family val="3"/>
            <charset val="134"/>
          </rPr>
          <t>～</t>
        </r>
        <r>
          <rPr>
            <sz val="9"/>
            <color indexed="81"/>
            <rFont val="Tahoma"/>
            <family val="2"/>
          </rPr>
          <t>13</t>
        </r>
        <r>
          <rPr>
            <sz val="9"/>
            <color indexed="81"/>
            <rFont val="宋体"/>
            <family val="3"/>
            <charset val="134"/>
          </rPr>
          <t>的道具会列在</t>
        </r>
        <r>
          <rPr>
            <sz val="9"/>
            <color indexed="81"/>
            <rFont val="Tahoma"/>
            <family val="2"/>
          </rPr>
          <t>TXT</t>
        </r>
        <r>
          <rPr>
            <sz val="9"/>
            <color indexed="81"/>
            <rFont val="宋体"/>
            <family val="3"/>
            <charset val="134"/>
          </rPr>
          <t>卡当中。</t>
        </r>
      </text>
    </comment>
  </commentList>
</comments>
</file>

<file path=xl/comments3.xml><?xml version="1.0" encoding="utf-8"?>
<comments xmlns="http://schemas.openxmlformats.org/spreadsheetml/2006/main">
  <authors>
    <author>粉毛提督七宫涟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注意，只有</t>
        </r>
        <r>
          <rPr>
            <sz val="9"/>
            <color indexed="81"/>
            <rFont val="Tahoma"/>
            <family val="2"/>
          </rPr>
          <t>ID2</t>
        </r>
        <r>
          <rPr>
            <sz val="9"/>
            <color indexed="81"/>
            <rFont val="宋体"/>
            <family val="3"/>
            <charset val="134"/>
          </rPr>
          <t>～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>的武器会列在</t>
        </r>
        <r>
          <rPr>
            <sz val="9"/>
            <color indexed="81"/>
            <rFont val="Tahoma"/>
            <family val="2"/>
          </rPr>
          <t>TXT</t>
        </r>
        <r>
          <rPr>
            <sz val="9"/>
            <color indexed="81"/>
            <rFont val="宋体"/>
            <family val="3"/>
            <charset val="134"/>
          </rPr>
          <t>卡当中。</t>
        </r>
      </text>
    </comment>
  </commentList>
</comments>
</file>

<file path=xl/sharedStrings.xml><?xml version="1.0" encoding="utf-8"?>
<sst xmlns="http://schemas.openxmlformats.org/spreadsheetml/2006/main" count="630" uniqueCount="471">
  <si>
    <t>100/96+</t>
  </si>
  <si>
    <r>
      <t>1/2</t>
    </r>
    <r>
      <rPr>
        <sz val="10"/>
        <color theme="1"/>
        <rFont val="宋体"/>
        <family val="3"/>
        <charset val="134"/>
      </rPr>
      <t>技能</t>
    </r>
  </si>
  <si>
    <r>
      <t>1/5</t>
    </r>
    <r>
      <rPr>
        <sz val="10"/>
        <color theme="1"/>
        <rFont val="宋体"/>
        <family val="3"/>
        <charset val="134"/>
      </rPr>
      <t>技能</t>
    </r>
  </si>
  <si>
    <t>CR</t>
    <phoneticPr fontId="7" type="noConversion"/>
  </si>
  <si>
    <t>资产</t>
    <phoneticPr fontId="7" type="noConversion"/>
  </si>
  <si>
    <t>现金</t>
    <phoneticPr fontId="7" type="noConversion"/>
  </si>
  <si>
    <t>消费水平</t>
    <phoneticPr fontId="7" type="noConversion"/>
  </si>
  <si>
    <t>1～9</t>
    <phoneticPr fontId="7" type="noConversion"/>
  </si>
  <si>
    <t>10～49</t>
    <phoneticPr fontId="7" type="noConversion"/>
  </si>
  <si>
    <t>50～89</t>
    <phoneticPr fontId="7" type="noConversion"/>
  </si>
  <si>
    <t>91～98</t>
    <phoneticPr fontId="7" type="noConversion"/>
  </si>
  <si>
    <t>会计</t>
  </si>
  <si>
    <t>点数</t>
    <phoneticPr fontId="7" type="noConversion"/>
  </si>
  <si>
    <t>信用范围</t>
  </si>
  <si>
    <t>法律</t>
  </si>
  <si>
    <t>聆听</t>
  </si>
  <si>
    <t>心理</t>
  </si>
  <si>
    <t>潜行</t>
  </si>
  <si>
    <t>侦查</t>
  </si>
  <si>
    <t>历史</t>
  </si>
  <si>
    <t>科学(生物)</t>
  </si>
  <si>
    <t>估价</t>
  </si>
  <si>
    <t>图书馆</t>
  </si>
  <si>
    <t>自然</t>
  </si>
  <si>
    <t>机修</t>
  </si>
  <si>
    <t>导航</t>
  </si>
  <si>
    <t>急救</t>
  </si>
  <si>
    <t>医学</t>
  </si>
  <si>
    <t>乔装</t>
  </si>
  <si>
    <t>跳跃</t>
  </si>
  <si>
    <t>追踪</t>
  </si>
  <si>
    <t>闪避</t>
  </si>
  <si>
    <t>语言(拉丁文)</t>
  </si>
  <si>
    <t>重机</t>
  </si>
  <si>
    <t>格斗(斗殴)</t>
  </si>
  <si>
    <t>射击</t>
  </si>
  <si>
    <t>骑乘</t>
  </si>
  <si>
    <t>外语</t>
  </si>
  <si>
    <t>格斗(任一)</t>
  </si>
  <si>
    <t>会计/估价</t>
  </si>
  <si>
    <t>攀爬/游泳</t>
  </si>
  <si>
    <t>历史/自然</t>
  </si>
  <si>
    <t>自然/神秘学</t>
  </si>
  <si>
    <t>艺术(任一)</t>
  </si>
  <si>
    <t>自选</t>
  </si>
  <si>
    <t>艺术(表演)</t>
    <phoneticPr fontId="4" type="noConversion"/>
  </si>
  <si>
    <t>射击(任一)</t>
  </si>
  <si>
    <t>（待定）</t>
    <phoneticPr fontId="4" type="noConversion"/>
  </si>
  <si>
    <t>急救/机修/外语</t>
  </si>
  <si>
    <t>二</t>
    <phoneticPr fontId="4" type="noConversion"/>
  </si>
  <si>
    <t>三</t>
    <phoneticPr fontId="4" type="noConversion"/>
  </si>
  <si>
    <t>一</t>
    <phoneticPr fontId="4" type="noConversion"/>
  </si>
  <si>
    <t>四</t>
    <phoneticPr fontId="4" type="noConversion"/>
  </si>
  <si>
    <t>五</t>
    <phoneticPr fontId="4" type="noConversion"/>
  </si>
  <si>
    <t>六</t>
    <phoneticPr fontId="4" type="noConversion"/>
  </si>
  <si>
    <t>七</t>
    <phoneticPr fontId="4" type="noConversion"/>
  </si>
  <si>
    <t>八</t>
    <phoneticPr fontId="4" type="noConversion"/>
  </si>
  <si>
    <t>生存(任一)</t>
    <phoneticPr fontId="4" type="noConversion"/>
  </si>
  <si>
    <t>社交自选</t>
  </si>
  <si>
    <t>九</t>
    <phoneticPr fontId="4" type="noConversion"/>
  </si>
  <si>
    <t>研究相关</t>
  </si>
  <si>
    <t>科学(药学)</t>
  </si>
  <si>
    <t>关系</t>
    <phoneticPr fontId="4" type="noConversion"/>
  </si>
  <si>
    <t>SAN</t>
    <phoneticPr fontId="4" type="noConversion"/>
  </si>
  <si>
    <t>HP</t>
    <phoneticPr fontId="4" type="noConversion"/>
  </si>
  <si>
    <t>MP</t>
    <phoneticPr fontId="4" type="noConversion"/>
  </si>
  <si>
    <t>武器名</t>
    <phoneticPr fontId="4" type="noConversion"/>
  </si>
  <si>
    <t>使用技能</t>
    <phoneticPr fontId="4" type="noConversion"/>
  </si>
  <si>
    <t>成功率</t>
    <phoneticPr fontId="4" type="noConversion"/>
  </si>
  <si>
    <t>道具名</t>
    <phoneticPr fontId="4" type="noConversion"/>
  </si>
  <si>
    <t>价格</t>
    <phoneticPr fontId="4" type="noConversion"/>
  </si>
  <si>
    <t>说明</t>
    <phoneticPr fontId="4" type="noConversion"/>
  </si>
  <si>
    <t>伤害</t>
    <phoneticPr fontId="4" type="noConversion"/>
  </si>
  <si>
    <t>射程</t>
    <phoneticPr fontId="4" type="noConversion"/>
  </si>
  <si>
    <t>名字</t>
    <phoneticPr fontId="4" type="noConversion"/>
  </si>
  <si>
    <t>玩家</t>
    <phoneticPr fontId="4" type="noConversion"/>
  </si>
  <si>
    <t>1/2</t>
    <phoneticPr fontId="4" type="noConversion"/>
  </si>
  <si>
    <t>1/5</t>
    <phoneticPr fontId="4" type="noConversion"/>
  </si>
  <si>
    <t>±</t>
    <phoneticPr fontId="4" type="noConversion"/>
  </si>
  <si>
    <t>弹数</t>
    <phoneticPr fontId="4" type="noConversion"/>
  </si>
  <si>
    <t>故障值</t>
    <phoneticPr fontId="4" type="noConversion"/>
  </si>
  <si>
    <t>每轮攻击</t>
    <phoneticPr fontId="4" type="noConversion"/>
  </si>
  <si>
    <t>N/A</t>
    <phoneticPr fontId="4" type="noConversion"/>
  </si>
  <si>
    <t>说明</t>
    <phoneticPr fontId="4" type="noConversion"/>
  </si>
  <si>
    <t>说明</t>
    <phoneticPr fontId="4" type="noConversion"/>
  </si>
  <si>
    <t>价格</t>
    <phoneticPr fontId="4" type="noConversion"/>
  </si>
  <si>
    <t>名称</t>
    <phoneticPr fontId="4" type="noConversion"/>
  </si>
  <si>
    <t>←正在使用</t>
    <phoneticPr fontId="4" type="noConversion"/>
  </si>
  <si>
    <t>AA</t>
    <phoneticPr fontId="4" type="noConversion"/>
  </si>
  <si>
    <t>────战斗────</t>
    <phoneticPr fontId="4" type="noConversion"/>
  </si>
  <si>
    <t>────背景────</t>
    <phoneticPr fontId="4" type="noConversion"/>
  </si>
  <si>
    <t>────伙伴────</t>
    <phoneticPr fontId="4" type="noConversion"/>
  </si>
  <si>
    <t>━━━━━━━━━━</t>
    <phoneticPr fontId="4" type="noConversion"/>
  </si>
  <si>
    <t>STR</t>
    <phoneticPr fontId="4" type="noConversion"/>
  </si>
  <si>
    <t>APP</t>
    <phoneticPr fontId="4" type="noConversion"/>
  </si>
  <si>
    <t>CON</t>
    <phoneticPr fontId="4" type="noConversion"/>
  </si>
  <si>
    <t>INT</t>
    <phoneticPr fontId="4" type="noConversion"/>
  </si>
  <si>
    <r>
      <rPr>
        <sz val="12"/>
        <color theme="1"/>
        <rFont val="宋体"/>
        <family val="3"/>
        <charset val="134"/>
      </rPr>
      <t>合计</t>
    </r>
    <phoneticPr fontId="4" type="noConversion"/>
  </si>
  <si>
    <t>SIZ</t>
    <phoneticPr fontId="4" type="noConversion"/>
  </si>
  <si>
    <t>POW</t>
    <phoneticPr fontId="4" type="noConversion"/>
  </si>
  <si>
    <r>
      <rPr>
        <sz val="12"/>
        <color theme="1"/>
        <rFont val="宋体"/>
        <family val="3"/>
        <charset val="134"/>
      </rPr>
      <t>母语</t>
    </r>
    <phoneticPr fontId="4" type="noConversion"/>
  </si>
  <si>
    <t>DEX</t>
    <phoneticPr fontId="4" type="noConversion"/>
  </si>
  <si>
    <t>EDU</t>
    <phoneticPr fontId="4" type="noConversion"/>
  </si>
  <si>
    <r>
      <rPr>
        <sz val="12"/>
        <color theme="1"/>
        <rFont val="宋体"/>
        <family val="3"/>
        <charset val="134"/>
      </rPr>
      <t>初始
幸运</t>
    </r>
    <phoneticPr fontId="4" type="noConversion"/>
  </si>
  <si>
    <r>
      <rPr>
        <sz val="12"/>
        <color theme="1"/>
        <rFont val="宋体"/>
        <family val="3"/>
        <charset val="134"/>
      </rPr>
      <t>骑乘</t>
    </r>
    <phoneticPr fontId="4" type="noConversion"/>
  </si>
  <si>
    <t>N/A</t>
    <phoneticPr fontId="4" type="noConversion"/>
  </si>
  <si>
    <t>N/A</t>
    <phoneticPr fontId="4" type="noConversion"/>
  </si>
  <si>
    <t>徒手</t>
    <phoneticPr fontId="4" type="noConversion"/>
  </si>
  <si>
    <t>格斗(斗殴)</t>
    <phoneticPr fontId="4" type="noConversion"/>
  </si>
  <si>
    <t>近</t>
    <phoneticPr fontId="4" type="noConversion"/>
  </si>
  <si>
    <t>N/A</t>
    <phoneticPr fontId="4" type="noConversion"/>
  </si>
  <si>
    <t>N/A</t>
    <phoneticPr fontId="4" type="noConversion"/>
  </si>
  <si>
    <r>
      <t>1.</t>
    </r>
    <r>
      <rPr>
        <sz val="12"/>
        <color theme="1"/>
        <rFont val="宋体"/>
        <family val="3"/>
        <charset val="134"/>
      </rPr>
      <t>现在看到的表是建卡用表。</t>
    </r>
    <phoneticPr fontId="4" type="noConversion"/>
  </si>
  <si>
    <t>1D3+db</t>
    <phoneticPr fontId="4" type="noConversion"/>
  </si>
  <si>
    <t>db</t>
    <phoneticPr fontId="4" type="noConversion"/>
  </si>
  <si>
    <t>db</t>
    <phoneticPr fontId="4" type="noConversion"/>
  </si>
  <si>
    <t>HP</t>
    <phoneticPr fontId="4" type="noConversion"/>
  </si>
  <si>
    <t>MP</t>
    <phoneticPr fontId="4" type="noConversion"/>
  </si>
  <si>
    <t>SAN</t>
    <phoneticPr fontId="4" type="noConversion"/>
  </si>
  <si>
    <t>LUCK</t>
    <phoneticPr fontId="4" type="noConversion"/>
  </si>
  <si>
    <t>────资产────</t>
    <phoneticPr fontId="4" type="noConversion"/>
  </si>
  <si>
    <t>───人物备注───</t>
    <phoneticPr fontId="4" type="noConversion"/>
  </si>
  <si>
    <t>────属性────</t>
    <phoneticPr fontId="4" type="noConversion"/>
  </si>
  <si>
    <t>────技能────</t>
    <phoneticPr fontId="4" type="noConversion"/>
  </si>
  <si>
    <t>1890s</t>
    <phoneticPr fontId="4" type="noConversion"/>
  </si>
  <si>
    <t>￡50</t>
    <phoneticPr fontId="4" type="noConversion"/>
  </si>
  <si>
    <t>￡250</t>
    <phoneticPr fontId="4" type="noConversion"/>
  </si>
  <si>
    <t>5s</t>
    <phoneticPr fontId="4" type="noConversion"/>
  </si>
  <si>
    <t>5p</t>
    <phoneticPr fontId="4" type="noConversion"/>
  </si>
  <si>
    <t>20s</t>
    <phoneticPr fontId="4" type="noConversion"/>
  </si>
  <si>
    <t>￡15</t>
    <phoneticPr fontId="4" type="noConversion"/>
  </si>
  <si>
    <t>￡2 10s</t>
    <phoneticPr fontId="4" type="noConversion"/>
  </si>
  <si>
    <t>美元转英镑</t>
    <phoneticPr fontId="4" type="noConversion"/>
  </si>
  <si>
    <t>美元</t>
    <phoneticPr fontId="4" type="noConversion"/>
  </si>
  <si>
    <t>英镑</t>
    <phoneticPr fontId="4" type="noConversion"/>
  </si>
  <si>
    <t>艺术/工艺</t>
    <phoneticPr fontId="4" type="noConversion"/>
  </si>
  <si>
    <t>魅惑</t>
    <phoneticPr fontId="4" type="noConversion"/>
  </si>
  <si>
    <t>急救</t>
    <phoneticPr fontId="4" type="noConversion"/>
  </si>
  <si>
    <t>说服</t>
    <phoneticPr fontId="4" type="noConversion"/>
  </si>
  <si>
    <t>骑乘</t>
    <phoneticPr fontId="4" type="noConversion"/>
  </si>
  <si>
    <t>潜行</t>
    <phoneticPr fontId="4" type="noConversion"/>
  </si>
  <si>
    <t>自选</t>
    <phoneticPr fontId="4" type="noConversion"/>
  </si>
  <si>
    <t>阶层</t>
    <phoneticPr fontId="4" type="noConversion"/>
  </si>
  <si>
    <t>中/上</t>
    <phoneticPr fontId="4" type="noConversion"/>
  </si>
  <si>
    <t>上</t>
    <phoneticPr fontId="4" type="noConversion"/>
  </si>
  <si>
    <t>中/上</t>
    <phoneticPr fontId="4" type="noConversion"/>
  </si>
  <si>
    <t>中</t>
    <phoneticPr fontId="4" type="noConversion"/>
  </si>
  <si>
    <t>工/中</t>
    <phoneticPr fontId="4" type="noConversion"/>
  </si>
  <si>
    <t>历史</t>
    <phoneticPr fontId="4" type="noConversion"/>
  </si>
  <si>
    <t>法律</t>
    <phoneticPr fontId="4" type="noConversion"/>
  </si>
  <si>
    <t>说服</t>
    <phoneticPr fontId="4" type="noConversion"/>
  </si>
  <si>
    <t>骑乘</t>
    <phoneticPr fontId="4" type="noConversion"/>
  </si>
  <si>
    <t>射击(步霰)</t>
    <phoneticPr fontId="4" type="noConversion"/>
  </si>
  <si>
    <t>人类学</t>
    <phoneticPr fontId="4" type="noConversion"/>
  </si>
  <si>
    <t>法律</t>
    <phoneticPr fontId="4" type="noConversion"/>
  </si>
  <si>
    <t>图书馆</t>
    <phoneticPr fontId="4" type="noConversion"/>
  </si>
  <si>
    <t>外语</t>
    <phoneticPr fontId="4" type="noConversion"/>
  </si>
  <si>
    <t>外语(拉丁文)</t>
    <phoneticPr fontId="4" type="noConversion"/>
  </si>
  <si>
    <t>心理</t>
    <phoneticPr fontId="4" type="noConversion"/>
  </si>
  <si>
    <t>心理</t>
    <phoneticPr fontId="4" type="noConversion"/>
  </si>
  <si>
    <t>科学(化学)</t>
    <phoneticPr fontId="4" type="noConversion"/>
  </si>
  <si>
    <t>侦查</t>
    <phoneticPr fontId="4" type="noConversion"/>
  </si>
  <si>
    <t>自选</t>
    <phoneticPr fontId="4" type="noConversion"/>
  </si>
  <si>
    <t>会计</t>
    <phoneticPr fontId="4" type="noConversion"/>
  </si>
  <si>
    <t>话术</t>
    <phoneticPr fontId="4" type="noConversion"/>
  </si>
  <si>
    <t>法律</t>
    <phoneticPr fontId="4" type="noConversion"/>
  </si>
  <si>
    <t>图书馆</t>
    <phoneticPr fontId="4" type="noConversion"/>
  </si>
  <si>
    <t>锁匠</t>
    <phoneticPr fontId="4" type="noConversion"/>
  </si>
  <si>
    <t>心理</t>
    <phoneticPr fontId="4" type="noConversion"/>
  </si>
  <si>
    <t>侦查</t>
    <phoneticPr fontId="4" type="noConversion"/>
  </si>
  <si>
    <t>自选</t>
    <phoneticPr fontId="4" type="noConversion"/>
  </si>
  <si>
    <t>中</t>
    <phoneticPr fontId="4" type="noConversion"/>
  </si>
  <si>
    <t>乔装</t>
    <phoneticPr fontId="4" type="noConversion"/>
  </si>
  <si>
    <t>格斗/射击</t>
    <phoneticPr fontId="4" type="noConversion"/>
  </si>
  <si>
    <t>导航</t>
    <phoneticPr fontId="4" type="noConversion"/>
  </si>
  <si>
    <t>外语(欧陆)</t>
    <phoneticPr fontId="4" type="noConversion"/>
  </si>
  <si>
    <t>社交自选</t>
    <phoneticPr fontId="4" type="noConversion"/>
  </si>
  <si>
    <t>文物学家</t>
    <phoneticPr fontId="4" type="noConversion"/>
  </si>
  <si>
    <t>业余艺术爱好者</t>
    <phoneticPr fontId="4" type="noConversion"/>
  </si>
  <si>
    <t>艺术家</t>
    <phoneticPr fontId="4" type="noConversion"/>
  </si>
  <si>
    <t>作家</t>
    <phoneticPr fontId="4" type="noConversion"/>
  </si>
  <si>
    <t>出租马车司机</t>
    <phoneticPr fontId="4" type="noConversion"/>
  </si>
  <si>
    <t>牧师</t>
    <phoneticPr fontId="4" type="noConversion"/>
  </si>
  <si>
    <t>工匠</t>
    <phoneticPr fontId="4" type="noConversion"/>
  </si>
  <si>
    <t>罪犯</t>
    <phoneticPr fontId="4" type="noConversion"/>
  </si>
  <si>
    <t>艺人</t>
    <phoneticPr fontId="4" type="noConversion"/>
  </si>
  <si>
    <t>事务所侦探</t>
    <phoneticPr fontId="4" type="noConversion"/>
  </si>
  <si>
    <t>记者</t>
    <phoneticPr fontId="4" type="noConversion"/>
  </si>
  <si>
    <t>工人</t>
    <phoneticPr fontId="4" type="noConversion"/>
  </si>
  <si>
    <t>律师</t>
    <phoneticPr fontId="4" type="noConversion"/>
  </si>
  <si>
    <t>医生</t>
    <phoneticPr fontId="4" type="noConversion"/>
  </si>
  <si>
    <t>警察</t>
    <phoneticPr fontId="4" type="noConversion"/>
  </si>
  <si>
    <t>教授</t>
    <phoneticPr fontId="4" type="noConversion"/>
  </si>
  <si>
    <t>学者</t>
    <phoneticPr fontId="4" type="noConversion"/>
  </si>
  <si>
    <t>科学家</t>
    <phoneticPr fontId="4" type="noConversion"/>
  </si>
  <si>
    <t>仆人</t>
    <phoneticPr fontId="4" type="noConversion"/>
  </si>
  <si>
    <t>店老板</t>
    <phoneticPr fontId="4" type="noConversion"/>
  </si>
  <si>
    <t>士兵</t>
    <phoneticPr fontId="4" type="noConversion"/>
  </si>
  <si>
    <t>女冒险家*</t>
    <phoneticPr fontId="4" type="noConversion"/>
  </si>
  <si>
    <t>贵族*</t>
    <phoneticPr fontId="4" type="noConversion"/>
  </si>
  <si>
    <t>咨询侦探*</t>
    <phoneticPr fontId="4" type="noConversion"/>
  </si>
  <si>
    <t>私家侦探*</t>
    <phoneticPr fontId="4" type="noConversion"/>
  </si>
  <si>
    <t>间谍*</t>
    <phoneticPr fontId="4" type="noConversion"/>
  </si>
  <si>
    <t>艺术(文学)</t>
    <phoneticPr fontId="4" type="noConversion"/>
  </si>
  <si>
    <t>生存(任一)</t>
    <phoneticPr fontId="4" type="noConversion"/>
  </si>
  <si>
    <t>同左</t>
    <phoneticPr fontId="4" type="noConversion"/>
  </si>
  <si>
    <t>中/上</t>
    <phoneticPr fontId="4" type="noConversion"/>
  </si>
  <si>
    <t>马车驾驶</t>
    <phoneticPr fontId="4" type="noConversion"/>
  </si>
  <si>
    <t>跳跃</t>
    <phoneticPr fontId="4" type="noConversion"/>
  </si>
  <si>
    <t>机修</t>
    <phoneticPr fontId="4" type="noConversion"/>
  </si>
  <si>
    <t>导航</t>
    <phoneticPr fontId="4" type="noConversion"/>
  </si>
  <si>
    <t>聆听/侦查</t>
    <phoneticPr fontId="4" type="noConversion"/>
  </si>
  <si>
    <t>自然/导航</t>
    <phoneticPr fontId="4" type="noConversion"/>
  </si>
  <si>
    <t>社交自选</t>
    <phoneticPr fontId="4" type="noConversion"/>
  </si>
  <si>
    <t>格斗(鞭)/闪避</t>
    <phoneticPr fontId="4" type="noConversion"/>
  </si>
  <si>
    <t>工</t>
    <phoneticPr fontId="4" type="noConversion"/>
  </si>
  <si>
    <t>外语(拉丁文)</t>
    <phoneticPr fontId="4" type="noConversion"/>
  </si>
  <si>
    <t>估价</t>
    <phoneticPr fontId="4" type="noConversion"/>
  </si>
  <si>
    <t>话术</t>
    <phoneticPr fontId="4" type="noConversion"/>
  </si>
  <si>
    <t>锁匠</t>
    <phoneticPr fontId="4" type="noConversion"/>
  </si>
  <si>
    <t>格斗/射击</t>
    <phoneticPr fontId="4" type="noConversion"/>
  </si>
  <si>
    <t>中</t>
    <phoneticPr fontId="4" type="noConversion"/>
  </si>
  <si>
    <t>工/中</t>
    <phoneticPr fontId="4" type="noConversion"/>
  </si>
  <si>
    <t>工/中</t>
    <phoneticPr fontId="4" type="noConversion"/>
  </si>
  <si>
    <t>上</t>
    <phoneticPr fontId="4" type="noConversion"/>
  </si>
  <si>
    <t>工/中</t>
    <phoneticPr fontId="4" type="noConversion"/>
  </si>
  <si>
    <t>退役军人</t>
    <phoneticPr fontId="4" type="noConversion"/>
  </si>
  <si>
    <t>急救</t>
    <phoneticPr fontId="4" type="noConversion"/>
  </si>
  <si>
    <t>社交自选</t>
    <phoneticPr fontId="4" type="noConversion"/>
  </si>
  <si>
    <t>攀爬/游泳</t>
    <phoneticPr fontId="4" type="noConversion"/>
  </si>
  <si>
    <t>射击(任一)</t>
    <phoneticPr fontId="4" type="noConversion"/>
  </si>
  <si>
    <t>探险家</t>
    <phoneticPr fontId="4" type="noConversion"/>
  </si>
  <si>
    <t>艺术(摄影)</t>
    <phoneticPr fontId="4" type="noConversion"/>
  </si>
  <si>
    <t>历史/图书馆</t>
    <phoneticPr fontId="4" type="noConversion"/>
  </si>
  <si>
    <t>自选</t>
    <phoneticPr fontId="4" type="noConversion"/>
  </si>
  <si>
    <t>马车驾驶</t>
    <phoneticPr fontId="4" type="noConversion"/>
  </si>
  <si>
    <t>闪避</t>
    <phoneticPr fontId="4" type="noConversion"/>
  </si>
  <si>
    <t>艺术(任一)</t>
    <phoneticPr fontId="4" type="noConversion"/>
  </si>
  <si>
    <t>工</t>
    <phoneticPr fontId="4" type="noConversion"/>
  </si>
  <si>
    <t>射击(手枪)</t>
    <phoneticPr fontId="4" type="noConversion"/>
  </si>
  <si>
    <t>工/中</t>
    <phoneticPr fontId="4" type="noConversion"/>
  </si>
  <si>
    <t>中/上</t>
    <phoneticPr fontId="4" type="noConversion"/>
  </si>
  <si>
    <t>中</t>
    <phoneticPr fontId="4" type="noConversion"/>
  </si>
  <si>
    <t>中</t>
    <phoneticPr fontId="4" type="noConversion"/>
  </si>
  <si>
    <t>图书馆</t>
    <phoneticPr fontId="4" type="noConversion"/>
  </si>
  <si>
    <t>工</t>
    <phoneticPr fontId="4" type="noConversion"/>
  </si>
  <si>
    <t>工/中</t>
    <phoneticPr fontId="4" type="noConversion"/>
  </si>
  <si>
    <r>
      <t>[</t>
    </r>
    <r>
      <rPr>
        <sz val="24"/>
        <color theme="0"/>
        <rFont val="华文中宋"/>
        <family val="3"/>
        <charset val="134"/>
      </rPr>
      <t>团名</t>
    </r>
    <r>
      <rPr>
        <sz val="24"/>
        <color theme="0"/>
        <rFont val="Bookman Old Style"/>
        <family val="1"/>
      </rPr>
      <t>]</t>
    </r>
    <phoneticPr fontId="4" type="noConversion"/>
  </si>
  <si>
    <r>
      <rPr>
        <sz val="24"/>
        <color theme="0"/>
        <rFont val="华文中宋"/>
        <family val="3"/>
        <charset val="134"/>
      </rPr>
      <t>克苏鲁的呼唤第七版</t>
    </r>
    <r>
      <rPr>
        <sz val="24"/>
        <color theme="0"/>
        <rFont val="Bookman Old Style"/>
        <family val="1"/>
      </rPr>
      <t xml:space="preserve"> </t>
    </r>
    <r>
      <rPr>
        <sz val="24"/>
        <color theme="0"/>
        <rFont val="华文中宋"/>
        <family val="3"/>
        <charset val="134"/>
      </rPr>
      <t>调查员表</t>
    </r>
    <phoneticPr fontId="4" type="noConversion"/>
  </si>
  <si>
    <r>
      <rPr>
        <sz val="12"/>
        <color theme="1"/>
        <rFont val="Palatino Linotype"/>
        <family val="1"/>
      </rPr>
      <t>姓名</t>
    </r>
    <phoneticPr fontId="4" type="noConversion"/>
  </si>
  <si>
    <r>
      <rPr>
        <b/>
        <sz val="12"/>
        <color theme="1"/>
        <rFont val="宋体"/>
        <family val="3"/>
        <charset val="134"/>
      </rPr>
      <t>力量</t>
    </r>
    <r>
      <rPr>
        <b/>
        <sz val="12"/>
        <color theme="1"/>
        <rFont val="Bookman Old Style"/>
        <family val="1"/>
      </rPr>
      <t>STR</t>
    </r>
    <phoneticPr fontId="4" type="noConversion"/>
  </si>
  <si>
    <r>
      <rPr>
        <b/>
        <sz val="12"/>
        <color theme="1"/>
        <rFont val="宋体"/>
        <family val="3"/>
        <charset val="134"/>
      </rPr>
      <t>敏捷</t>
    </r>
    <r>
      <rPr>
        <b/>
        <sz val="12"/>
        <color theme="1"/>
        <rFont val="Bookman Old Style"/>
        <family val="1"/>
      </rPr>
      <t>DEX</t>
    </r>
    <phoneticPr fontId="4" type="noConversion"/>
  </si>
  <si>
    <r>
      <rPr>
        <b/>
        <sz val="12"/>
        <color theme="1"/>
        <rFont val="宋体"/>
        <family val="3"/>
        <charset val="134"/>
      </rPr>
      <t>意志</t>
    </r>
    <r>
      <rPr>
        <b/>
        <sz val="12"/>
        <color theme="1"/>
        <rFont val="Bookman Old Style"/>
        <family val="1"/>
      </rPr>
      <t>POW</t>
    </r>
    <phoneticPr fontId="4" type="noConversion"/>
  </si>
  <si>
    <r>
      <rPr>
        <sz val="12"/>
        <color theme="1"/>
        <rFont val="Palatino Linotype"/>
        <family val="1"/>
      </rPr>
      <t>玩家</t>
    </r>
    <phoneticPr fontId="4" type="noConversion"/>
  </si>
  <si>
    <r>
      <rPr>
        <sz val="12"/>
        <color theme="1"/>
        <rFont val="Palatino Linotype"/>
        <family val="1"/>
      </rPr>
      <t>职业</t>
    </r>
    <phoneticPr fontId="4" type="noConversion"/>
  </si>
  <si>
    <r>
      <rPr>
        <b/>
        <sz val="12"/>
        <color theme="1"/>
        <rFont val="宋体"/>
        <family val="3"/>
        <charset val="134"/>
      </rPr>
      <t>体质</t>
    </r>
    <r>
      <rPr>
        <b/>
        <sz val="12"/>
        <color theme="1"/>
        <rFont val="Bookman Old Style"/>
        <family val="1"/>
      </rPr>
      <t>CON</t>
    </r>
    <phoneticPr fontId="4" type="noConversion"/>
  </si>
  <si>
    <r>
      <rPr>
        <b/>
        <sz val="12"/>
        <color theme="1"/>
        <rFont val="宋体"/>
        <family val="3"/>
        <charset val="134"/>
      </rPr>
      <t>外貌</t>
    </r>
    <r>
      <rPr>
        <b/>
        <sz val="12"/>
        <color theme="1"/>
        <rFont val="Bookman Old Style"/>
        <family val="1"/>
      </rPr>
      <t>APP</t>
    </r>
    <phoneticPr fontId="4" type="noConversion"/>
  </si>
  <si>
    <r>
      <rPr>
        <b/>
        <sz val="12"/>
        <color theme="1"/>
        <rFont val="宋体"/>
        <family val="3"/>
        <charset val="134"/>
      </rPr>
      <t>教育</t>
    </r>
    <r>
      <rPr>
        <b/>
        <sz val="12"/>
        <color theme="1"/>
        <rFont val="Bookman Old Style"/>
        <family val="1"/>
      </rPr>
      <t>EDU</t>
    </r>
    <phoneticPr fontId="4" type="noConversion"/>
  </si>
  <si>
    <r>
      <rPr>
        <sz val="12"/>
        <color theme="1"/>
        <rFont val="Palatino Linotype"/>
        <family val="1"/>
      </rPr>
      <t>年龄</t>
    </r>
    <phoneticPr fontId="4" type="noConversion"/>
  </si>
  <si>
    <r>
      <rPr>
        <sz val="12"/>
        <color theme="1"/>
        <rFont val="Palatino Linotype"/>
        <family val="1"/>
      </rPr>
      <t>性别</t>
    </r>
    <phoneticPr fontId="4" type="noConversion"/>
  </si>
  <si>
    <r>
      <rPr>
        <sz val="12"/>
        <color theme="1"/>
        <rFont val="Palatino Linotype"/>
        <family val="1"/>
      </rPr>
      <t>居住地</t>
    </r>
    <phoneticPr fontId="4" type="noConversion"/>
  </si>
  <si>
    <r>
      <rPr>
        <b/>
        <sz val="12"/>
        <color theme="1"/>
        <rFont val="宋体"/>
        <family val="3"/>
        <charset val="134"/>
      </rPr>
      <t>体形</t>
    </r>
    <r>
      <rPr>
        <b/>
        <sz val="12"/>
        <color theme="1"/>
        <rFont val="Bookman Old Style"/>
        <family val="1"/>
      </rPr>
      <t>SIZ</t>
    </r>
    <phoneticPr fontId="4" type="noConversion"/>
  </si>
  <si>
    <r>
      <rPr>
        <b/>
        <sz val="12"/>
        <color theme="1"/>
        <rFont val="宋体"/>
        <family val="3"/>
        <charset val="134"/>
      </rPr>
      <t>智力</t>
    </r>
    <r>
      <rPr>
        <b/>
        <sz val="12"/>
        <color theme="1"/>
        <rFont val="Bookman Old Style"/>
        <family val="1"/>
      </rPr>
      <t>INT</t>
    </r>
    <r>
      <rPr>
        <sz val="12"/>
        <color theme="1"/>
        <rFont val="Bookman Old Style"/>
        <family val="1"/>
      </rPr>
      <t xml:space="preserve">
</t>
    </r>
    <r>
      <rPr>
        <sz val="9"/>
        <color theme="1"/>
        <rFont val="宋体"/>
        <family val="3"/>
        <charset val="134"/>
      </rPr>
      <t>灵感</t>
    </r>
    <phoneticPr fontId="4" type="noConversion"/>
  </si>
  <si>
    <r>
      <rPr>
        <sz val="12"/>
        <color theme="1"/>
        <rFont val="宋体"/>
        <family val="3"/>
        <charset val="134"/>
      </rPr>
      <t>移动</t>
    </r>
    <r>
      <rPr>
        <sz val="12"/>
        <color theme="1"/>
        <rFont val="Bookman Old Style"/>
        <family val="1"/>
      </rPr>
      <t>MOV</t>
    </r>
    <phoneticPr fontId="4" type="noConversion"/>
  </si>
  <si>
    <r>
      <rPr>
        <sz val="12"/>
        <color theme="1"/>
        <rFont val="Palatino Linotype"/>
        <family val="1"/>
      </rPr>
      <t>出生地</t>
    </r>
    <phoneticPr fontId="4" type="noConversion"/>
  </si>
  <si>
    <r>
      <rPr>
        <sz val="12"/>
        <color theme="1"/>
        <rFont val="宋体"/>
        <family val="3"/>
        <charset val="134"/>
      </rPr>
      <t>阶层</t>
    </r>
    <phoneticPr fontId="4" type="noConversion"/>
  </si>
  <si>
    <r>
      <rPr>
        <sz val="12"/>
        <color theme="1"/>
        <rFont val="宋体"/>
        <family val="3"/>
        <charset val="134"/>
      </rPr>
      <t xml:space="preserve">幸运
</t>
    </r>
    <r>
      <rPr>
        <sz val="11"/>
        <color theme="1"/>
        <rFont val="Bookman Old Style"/>
        <family val="1"/>
      </rPr>
      <t>LUCK</t>
    </r>
    <phoneticPr fontId="4" type="noConversion"/>
  </si>
  <si>
    <r>
      <rPr>
        <sz val="12"/>
        <color theme="1"/>
        <rFont val="宋体"/>
        <family val="3"/>
        <charset val="134"/>
      </rPr>
      <t>体格</t>
    </r>
    <phoneticPr fontId="4" type="noConversion"/>
  </si>
  <si>
    <r>
      <rPr>
        <sz val="11"/>
        <color theme="1"/>
        <rFont val="宋体"/>
        <family val="3"/>
        <charset val="134"/>
      </rPr>
      <t>特殊状态</t>
    </r>
    <phoneticPr fontId="4" type="noConversion"/>
  </si>
  <si>
    <r>
      <rPr>
        <sz val="12"/>
        <color theme="1"/>
        <rFont val="宋体"/>
        <family val="3"/>
        <charset val="134"/>
      </rPr>
      <t>重伤</t>
    </r>
    <phoneticPr fontId="4" type="noConversion"/>
  </si>
  <si>
    <r>
      <rPr>
        <sz val="12"/>
        <color theme="1"/>
        <rFont val="宋体"/>
        <family val="3"/>
        <charset val="134"/>
      </rPr>
      <t>昏迷</t>
    </r>
    <phoneticPr fontId="4" type="noConversion"/>
  </si>
  <si>
    <r>
      <rPr>
        <sz val="12"/>
        <color theme="1"/>
        <rFont val="宋体"/>
        <family val="3"/>
        <charset val="134"/>
      </rPr>
      <t>濒死</t>
    </r>
    <phoneticPr fontId="4" type="noConversion"/>
  </si>
  <si>
    <r>
      <rPr>
        <sz val="12"/>
        <color theme="1"/>
        <rFont val="宋体"/>
        <family val="3"/>
        <charset val="134"/>
      </rPr>
      <t>短时疯狂</t>
    </r>
    <phoneticPr fontId="4" type="noConversion"/>
  </si>
  <si>
    <r>
      <rPr>
        <sz val="12"/>
        <color theme="1"/>
        <rFont val="宋体"/>
        <family val="3"/>
        <charset val="134"/>
      </rPr>
      <t>不定疯狂</t>
    </r>
    <phoneticPr fontId="4" type="noConversion"/>
  </si>
  <si>
    <r>
      <rPr>
        <sz val="11"/>
        <color theme="1"/>
        <rFont val="宋体"/>
        <family val="3"/>
        <charset val="134"/>
      </rPr>
      <t>特殊状态</t>
    </r>
    <phoneticPr fontId="4" type="noConversion"/>
  </si>
  <si>
    <r>
      <rPr>
        <sz val="12"/>
        <color theme="0"/>
        <rFont val="宋体"/>
        <family val="3"/>
        <charset val="134"/>
      </rPr>
      <t>提升</t>
    </r>
    <phoneticPr fontId="4" type="noConversion"/>
  </si>
  <si>
    <r>
      <rPr>
        <sz val="12"/>
        <color theme="0"/>
        <rFont val="宋体"/>
        <family val="3"/>
        <charset val="134"/>
      </rPr>
      <t>正常</t>
    </r>
    <phoneticPr fontId="4" type="noConversion"/>
  </si>
  <si>
    <r>
      <rPr>
        <sz val="12"/>
        <color theme="0"/>
        <rFont val="宋体"/>
        <family val="3"/>
        <charset val="134"/>
      </rPr>
      <t>值</t>
    </r>
    <phoneticPr fontId="4" type="noConversion"/>
  </si>
  <si>
    <r>
      <rPr>
        <sz val="20"/>
        <color theme="0"/>
        <rFont val="华文中宋"/>
        <family val="3"/>
        <charset val="134"/>
      </rPr>
      <t>技能</t>
    </r>
    <phoneticPr fontId="4" type="noConversion"/>
  </si>
  <si>
    <r>
      <rPr>
        <sz val="12"/>
        <color theme="0"/>
        <rFont val="宋体"/>
        <family val="3"/>
        <charset val="134"/>
      </rPr>
      <t>提升</t>
    </r>
    <phoneticPr fontId="4" type="noConversion"/>
  </si>
  <si>
    <r>
      <rPr>
        <sz val="12"/>
        <color theme="0"/>
        <rFont val="宋体"/>
        <family val="3"/>
        <charset val="134"/>
      </rPr>
      <t>正常</t>
    </r>
    <phoneticPr fontId="4" type="noConversion"/>
  </si>
  <si>
    <r>
      <rPr>
        <sz val="12"/>
        <color theme="0"/>
        <rFont val="宋体"/>
        <family val="3"/>
        <charset val="134"/>
      </rPr>
      <t>值</t>
    </r>
    <phoneticPr fontId="4" type="noConversion"/>
  </si>
  <si>
    <r>
      <rPr>
        <sz val="20"/>
        <color theme="0"/>
        <rFont val="华文中宋"/>
        <family val="3"/>
        <charset val="134"/>
      </rPr>
      <t>数据查询</t>
    </r>
    <phoneticPr fontId="4" type="noConversion"/>
  </si>
  <si>
    <r>
      <rPr>
        <sz val="12"/>
        <color theme="1"/>
        <rFont val="宋体"/>
        <family val="3"/>
        <charset val="134"/>
      </rPr>
      <t>闪避</t>
    </r>
    <phoneticPr fontId="4" type="noConversion"/>
  </si>
  <si>
    <r>
      <rPr>
        <sz val="12"/>
        <color theme="1"/>
        <rFont val="宋体"/>
        <family val="3"/>
        <charset val="134"/>
      </rPr>
      <t>武器</t>
    </r>
    <phoneticPr fontId="4" type="noConversion"/>
  </si>
  <si>
    <r>
      <rPr>
        <sz val="12"/>
        <color theme="1"/>
        <rFont val="Palatino Linotype"/>
        <family val="1"/>
      </rPr>
      <t>徒手</t>
    </r>
  </si>
  <si>
    <r>
      <rPr>
        <sz val="12"/>
        <color theme="1"/>
        <rFont val="宋体"/>
        <family val="3"/>
        <charset val="134"/>
      </rPr>
      <t>技能</t>
    </r>
    <phoneticPr fontId="4" type="noConversion"/>
  </si>
  <si>
    <r>
      <rPr>
        <sz val="12"/>
        <color theme="1"/>
        <rFont val="宋体"/>
        <family val="3"/>
        <charset val="134"/>
      </rPr>
      <t>伤害</t>
    </r>
    <phoneticPr fontId="4" type="noConversion"/>
  </si>
  <si>
    <r>
      <rPr>
        <sz val="12"/>
        <color theme="1"/>
        <rFont val="宋体"/>
        <family val="3"/>
        <charset val="134"/>
      </rPr>
      <t>射程</t>
    </r>
    <phoneticPr fontId="4" type="noConversion"/>
  </si>
  <si>
    <r>
      <rPr>
        <sz val="12"/>
        <color theme="1"/>
        <rFont val="宋体"/>
        <family val="3"/>
        <charset val="134"/>
      </rPr>
      <t>每轮</t>
    </r>
    <phoneticPr fontId="4" type="noConversion"/>
  </si>
  <si>
    <r>
      <rPr>
        <sz val="12"/>
        <color theme="1"/>
        <rFont val="宋体"/>
        <family val="3"/>
        <charset val="134"/>
      </rPr>
      <t>弹数</t>
    </r>
    <phoneticPr fontId="4" type="noConversion"/>
  </si>
  <si>
    <r>
      <rPr>
        <sz val="12"/>
        <color theme="1"/>
        <rFont val="宋体"/>
        <family val="3"/>
        <charset val="134"/>
      </rPr>
      <t>故障</t>
    </r>
    <phoneticPr fontId="4" type="noConversion"/>
  </si>
  <si>
    <r>
      <rPr>
        <sz val="12"/>
        <color theme="1"/>
        <rFont val="宋体"/>
        <family val="3"/>
        <charset val="134"/>
      </rPr>
      <t>防具</t>
    </r>
    <phoneticPr fontId="4" type="noConversion"/>
  </si>
  <si>
    <r>
      <rPr>
        <sz val="12"/>
        <color theme="1"/>
        <rFont val="宋体"/>
        <family val="3"/>
        <charset val="134"/>
      </rPr>
      <t>道具</t>
    </r>
    <phoneticPr fontId="4" type="noConversion"/>
  </si>
  <si>
    <r>
      <rPr>
        <sz val="12"/>
        <color theme="1"/>
        <rFont val="宋体"/>
        <family val="3"/>
        <charset val="134"/>
      </rPr>
      <t>注释</t>
    </r>
    <phoneticPr fontId="4" type="noConversion"/>
  </si>
  <si>
    <r>
      <rPr>
        <sz val="12"/>
        <color theme="1"/>
        <rFont val="宋体"/>
        <family val="3"/>
        <charset val="134"/>
      </rPr>
      <t>消费水平</t>
    </r>
    <phoneticPr fontId="4" type="noConversion"/>
  </si>
  <si>
    <r>
      <rPr>
        <sz val="12"/>
        <color theme="1"/>
        <rFont val="Palatino Linotype"/>
        <family val="1"/>
      </rPr>
      <t>现金</t>
    </r>
    <phoneticPr fontId="4" type="noConversion"/>
  </si>
  <si>
    <r>
      <rPr>
        <sz val="20"/>
        <color theme="0"/>
        <rFont val="华文隶书"/>
        <family val="3"/>
        <charset val="134"/>
      </rPr>
      <t>人物背景</t>
    </r>
    <phoneticPr fontId="4" type="noConversion"/>
  </si>
  <si>
    <r>
      <rPr>
        <sz val="11"/>
        <color theme="0"/>
        <rFont val="宋体"/>
        <family val="3"/>
        <charset val="134"/>
      </rPr>
      <t>换行控制</t>
    </r>
    <phoneticPr fontId="4" type="noConversion"/>
  </si>
  <si>
    <r>
      <rPr>
        <sz val="12"/>
        <color theme="1"/>
        <rFont val="宋体"/>
        <family val="3"/>
        <charset val="134"/>
      </rPr>
      <t>人物形象</t>
    </r>
    <phoneticPr fontId="4" type="noConversion"/>
  </si>
  <si>
    <r>
      <rPr>
        <sz val="12"/>
        <color theme="1"/>
        <rFont val="宋体"/>
        <family val="3"/>
        <charset val="134"/>
      </rPr>
      <t>思想信念</t>
    </r>
    <phoneticPr fontId="4" type="noConversion"/>
  </si>
  <si>
    <r>
      <rPr>
        <sz val="12"/>
        <color theme="1"/>
        <rFont val="宋体"/>
        <family val="3"/>
        <charset val="134"/>
      </rPr>
      <t>重要之人</t>
    </r>
    <phoneticPr fontId="4" type="noConversion"/>
  </si>
  <si>
    <r>
      <rPr>
        <sz val="12"/>
        <color theme="1"/>
        <rFont val="宋体"/>
        <family val="3"/>
        <charset val="134"/>
      </rPr>
      <t>意义非凡之地</t>
    </r>
    <phoneticPr fontId="4" type="noConversion"/>
  </si>
  <si>
    <r>
      <rPr>
        <sz val="12"/>
        <color theme="1"/>
        <rFont val="宋体"/>
        <family val="3"/>
        <charset val="134"/>
      </rPr>
      <t>宝贵之物</t>
    </r>
    <phoneticPr fontId="4" type="noConversion"/>
  </si>
  <si>
    <r>
      <rPr>
        <sz val="12"/>
        <color theme="1"/>
        <rFont val="宋体"/>
        <family val="3"/>
        <charset val="134"/>
      </rPr>
      <t>个人特质</t>
    </r>
    <phoneticPr fontId="4" type="noConversion"/>
  </si>
  <si>
    <r>
      <rPr>
        <sz val="12"/>
        <color theme="1"/>
        <rFont val="宋体"/>
        <family val="3"/>
        <charset val="134"/>
      </rPr>
      <t>伤口和疤痕</t>
    </r>
    <phoneticPr fontId="4" type="noConversion"/>
  </si>
  <si>
    <r>
      <rPr>
        <sz val="12"/>
        <color theme="1"/>
        <rFont val="宋体"/>
        <family val="3"/>
        <charset val="134"/>
      </rPr>
      <t>恐惧、狂躁症</t>
    </r>
    <phoneticPr fontId="4" type="noConversion"/>
  </si>
  <si>
    <r>
      <rPr>
        <sz val="12"/>
        <color theme="1"/>
        <rFont val="宋体"/>
        <family val="3"/>
        <charset val="134"/>
      </rPr>
      <t>魔法书咒语等</t>
    </r>
    <phoneticPr fontId="4" type="noConversion"/>
  </si>
  <si>
    <r>
      <rPr>
        <sz val="12"/>
        <color theme="1"/>
        <rFont val="宋体"/>
        <family val="3"/>
        <charset val="134"/>
      </rPr>
      <t>和怪异的遭遇</t>
    </r>
    <phoneticPr fontId="4" type="noConversion"/>
  </si>
  <si>
    <r>
      <rPr>
        <sz val="10"/>
        <color theme="1"/>
        <rFont val="Palatino Linotype"/>
        <family val="1"/>
      </rPr>
      <t>成功等级</t>
    </r>
  </si>
  <si>
    <r>
      <rPr>
        <sz val="10"/>
        <color theme="1"/>
        <rFont val="Palatino Linotype"/>
        <family val="1"/>
      </rPr>
      <t>骰值</t>
    </r>
  </si>
  <si>
    <r>
      <rPr>
        <sz val="10"/>
        <color theme="1"/>
        <rFont val="宋体"/>
        <family val="3"/>
        <charset val="134"/>
      </rPr>
      <t>重伤</t>
    </r>
    <r>
      <rPr>
        <sz val="10"/>
        <color theme="1"/>
        <rFont val="Bookman Old Style"/>
        <family val="1"/>
      </rPr>
      <t xml:space="preserve"> </t>
    </r>
    <r>
      <rPr>
        <sz val="10"/>
        <color theme="1"/>
        <rFont val="宋体"/>
        <family val="3"/>
        <charset val="134"/>
      </rPr>
      <t>在单次攻击中
失去的</t>
    </r>
    <r>
      <rPr>
        <sz val="10"/>
        <color theme="1"/>
        <rFont val="Bookman Old Style"/>
        <family val="1"/>
      </rPr>
      <t>HP</t>
    </r>
    <r>
      <rPr>
        <sz val="10"/>
        <color theme="1"/>
        <rFont val="宋体"/>
        <family val="3"/>
        <charset val="134"/>
      </rPr>
      <t>≥</t>
    </r>
    <r>
      <rPr>
        <sz val="10"/>
        <color theme="1"/>
        <rFont val="Bookman Old Style"/>
        <family val="1"/>
      </rPr>
      <t>1/2MaxHP</t>
    </r>
    <phoneticPr fontId="7" type="noConversion"/>
  </si>
  <si>
    <r>
      <rPr>
        <b/>
        <sz val="12"/>
        <color theme="1"/>
        <rFont val="Palatino Linotype"/>
        <family val="1"/>
      </rPr>
      <t>调查手记</t>
    </r>
    <phoneticPr fontId="4" type="noConversion"/>
  </si>
  <si>
    <r>
      <rPr>
        <sz val="10"/>
        <color theme="1"/>
        <rFont val="Palatino Linotype"/>
        <family val="1"/>
      </rPr>
      <t>大失败</t>
    </r>
  </si>
  <si>
    <r>
      <rPr>
        <sz val="10"/>
        <color theme="1"/>
        <rFont val="Palatino Linotype"/>
        <family val="1"/>
      </rPr>
      <t>失败</t>
    </r>
  </si>
  <si>
    <r>
      <rPr>
        <sz val="10"/>
        <color theme="1"/>
        <rFont val="Palatino Linotype"/>
        <family val="1"/>
      </rPr>
      <t>＞技能</t>
    </r>
  </si>
  <si>
    <r>
      <rPr>
        <sz val="10"/>
        <color theme="1"/>
        <rFont val="宋体"/>
        <family val="3"/>
        <charset val="134"/>
      </rPr>
      <t>昏迷</t>
    </r>
    <r>
      <rPr>
        <sz val="10"/>
        <color theme="1"/>
        <rFont val="Bookman Old Style"/>
        <family val="1"/>
      </rPr>
      <t xml:space="preserve"> HP=0</t>
    </r>
    <r>
      <rPr>
        <sz val="10"/>
        <color theme="1"/>
        <rFont val="宋体"/>
        <family val="3"/>
        <charset val="134"/>
      </rPr>
      <t>但是没有受到重伤</t>
    </r>
    <phoneticPr fontId="4" type="noConversion"/>
  </si>
  <si>
    <r>
      <rPr>
        <sz val="10"/>
        <color theme="1"/>
        <rFont val="Palatino Linotype"/>
        <family val="1"/>
      </rPr>
      <t>正常</t>
    </r>
  </si>
  <si>
    <r>
      <rPr>
        <sz val="10"/>
        <color theme="1"/>
        <rFont val="Palatino Linotype"/>
        <family val="1"/>
      </rPr>
      <t>≤技能</t>
    </r>
  </si>
  <si>
    <r>
      <rPr>
        <sz val="10"/>
        <color theme="1"/>
        <rFont val="宋体"/>
        <family val="3"/>
        <charset val="134"/>
      </rPr>
      <t>濒死</t>
    </r>
    <r>
      <rPr>
        <sz val="10"/>
        <color theme="1"/>
        <rFont val="Bookman Old Style"/>
        <family val="1"/>
      </rPr>
      <t xml:space="preserve"> HP=0</t>
    </r>
    <r>
      <rPr>
        <sz val="10"/>
        <color theme="1"/>
        <rFont val="宋体"/>
        <family val="3"/>
        <charset val="134"/>
      </rPr>
      <t>且受到了重伤；需要急救来暂时性地稳定伤势，并且通过医学来进行后续治疗</t>
    </r>
  </si>
  <si>
    <r>
      <rPr>
        <sz val="10"/>
        <color theme="1"/>
        <rFont val="Palatino Linotype"/>
        <family val="1"/>
      </rPr>
      <t>困难</t>
    </r>
  </si>
  <si>
    <r>
      <rPr>
        <sz val="10"/>
        <color theme="1"/>
        <rFont val="Palatino Linotype"/>
        <family val="1"/>
      </rPr>
      <t>极难</t>
    </r>
  </si>
  <si>
    <r>
      <rPr>
        <sz val="10"/>
        <color theme="1"/>
        <rFont val="Palatino Linotype"/>
        <family val="1"/>
      </rPr>
      <t>大成功</t>
    </r>
  </si>
  <si>
    <r>
      <rPr>
        <sz val="10"/>
        <color theme="1"/>
        <rFont val="宋体"/>
        <family val="3"/>
        <charset val="134"/>
      </rPr>
      <t>治疗</t>
    </r>
    <r>
      <rPr>
        <sz val="10"/>
        <color theme="1"/>
        <rFont val="Bookman Old Style"/>
        <family val="1"/>
      </rPr>
      <t xml:space="preserve"> </t>
    </r>
    <r>
      <rPr>
        <sz val="10"/>
        <color theme="1"/>
        <rFont val="宋体"/>
        <family val="3"/>
        <charset val="134"/>
      </rPr>
      <t>急救恢复</t>
    </r>
    <r>
      <rPr>
        <sz val="10"/>
        <color theme="1"/>
        <rFont val="Bookman Old Style"/>
        <family val="1"/>
      </rPr>
      <t xml:space="preserve">1HP </t>
    </r>
    <r>
      <rPr>
        <sz val="10"/>
        <color theme="1"/>
        <rFont val="宋体"/>
        <family val="3"/>
        <charset val="134"/>
      </rPr>
      <t>医学恢复</t>
    </r>
    <r>
      <rPr>
        <sz val="10"/>
        <color theme="1"/>
        <rFont val="Bookman Old Style"/>
        <family val="1"/>
      </rPr>
      <t>1D3HP</t>
    </r>
  </si>
  <si>
    <r>
      <rPr>
        <sz val="10"/>
        <color theme="1"/>
        <rFont val="Palatino Linotype"/>
        <family val="1"/>
      </rPr>
      <t>孤注一掷
必须作出合理解释；战斗和理智检定不能进行孤注一掷</t>
    </r>
    <phoneticPr fontId="7" type="noConversion"/>
  </si>
  <si>
    <r>
      <rPr>
        <sz val="10"/>
        <color theme="1"/>
        <rFont val="宋体"/>
        <family val="3"/>
        <charset val="134"/>
      </rPr>
      <t>自然恢复</t>
    </r>
    <r>
      <rPr>
        <sz val="10"/>
        <color theme="1"/>
        <rFont val="Bookman Old Style"/>
        <family val="1"/>
      </rPr>
      <t xml:space="preserve"> </t>
    </r>
    <r>
      <rPr>
        <sz val="10"/>
        <color theme="1"/>
        <rFont val="宋体"/>
        <family val="3"/>
        <charset val="134"/>
      </rPr>
      <t>非重伤每天恢复</t>
    </r>
    <r>
      <rPr>
        <sz val="10"/>
        <color theme="1"/>
        <rFont val="Bookman Old Style"/>
        <family val="1"/>
      </rPr>
      <t xml:space="preserve">1HP </t>
    </r>
    <r>
      <rPr>
        <sz val="10"/>
        <color theme="1"/>
        <rFont val="宋体"/>
        <family val="3"/>
        <charset val="134"/>
      </rPr>
      <t>重伤每周</t>
    </r>
    <r>
      <rPr>
        <sz val="10"/>
        <color theme="1"/>
        <rFont val="Bookman Old Style"/>
        <family val="1"/>
      </rPr>
      <t>1</t>
    </r>
    <r>
      <rPr>
        <sz val="10"/>
        <color theme="1"/>
        <rFont val="宋体"/>
        <family val="3"/>
        <charset val="134"/>
      </rPr>
      <t>次恢复检定</t>
    </r>
  </si>
  <si>
    <r>
      <rPr>
        <sz val="24"/>
        <color theme="0"/>
        <rFont val="华文中宋"/>
        <family val="3"/>
        <charset val="134"/>
      </rPr>
      <t>调查员建卡数据</t>
    </r>
    <phoneticPr fontId="4" type="noConversion"/>
  </si>
  <si>
    <r>
      <rPr>
        <sz val="12"/>
        <color theme="1"/>
        <rFont val="宋体"/>
        <family val="3"/>
        <charset val="134"/>
      </rPr>
      <t>姓名</t>
    </r>
    <phoneticPr fontId="4" type="noConversion"/>
  </si>
  <si>
    <r>
      <rPr>
        <sz val="12"/>
        <color theme="1"/>
        <rFont val="Palatino Linotype"/>
        <family val="1"/>
      </rPr>
      <t>掷骰结果</t>
    </r>
    <phoneticPr fontId="4" type="noConversion"/>
  </si>
  <si>
    <r>
      <rPr>
        <b/>
        <sz val="12"/>
        <color theme="1"/>
        <rFont val="宋体"/>
        <family val="3"/>
        <charset val="134"/>
      </rPr>
      <t>力量</t>
    </r>
    <r>
      <rPr>
        <b/>
        <sz val="12"/>
        <color theme="1"/>
        <rFont val="Bookman Old Style"/>
        <family val="1"/>
      </rPr>
      <t>STR</t>
    </r>
    <phoneticPr fontId="4" type="noConversion"/>
  </si>
  <si>
    <r>
      <rPr>
        <b/>
        <sz val="12"/>
        <color theme="1"/>
        <rFont val="宋体"/>
        <family val="3"/>
        <charset val="134"/>
      </rPr>
      <t>敏捷</t>
    </r>
    <r>
      <rPr>
        <b/>
        <sz val="12"/>
        <color theme="1"/>
        <rFont val="Bookman Old Style"/>
        <family val="1"/>
      </rPr>
      <t>DEX</t>
    </r>
    <phoneticPr fontId="4" type="noConversion"/>
  </si>
  <si>
    <r>
      <rPr>
        <b/>
        <sz val="12"/>
        <color theme="1"/>
        <rFont val="宋体"/>
        <family val="3"/>
        <charset val="134"/>
      </rPr>
      <t>意志</t>
    </r>
    <r>
      <rPr>
        <b/>
        <sz val="12"/>
        <color theme="1"/>
        <rFont val="Bookman Old Style"/>
        <family val="1"/>
      </rPr>
      <t>POW</t>
    </r>
    <phoneticPr fontId="4" type="noConversion"/>
  </si>
  <si>
    <r>
      <rPr>
        <sz val="12"/>
        <color theme="1"/>
        <rFont val="宋体"/>
        <family val="3"/>
        <charset val="134"/>
      </rPr>
      <t>玩家</t>
    </r>
    <phoneticPr fontId="4" type="noConversion"/>
  </si>
  <si>
    <r>
      <rPr>
        <sz val="12"/>
        <color theme="1"/>
        <rFont val="宋体"/>
        <family val="3"/>
        <charset val="134"/>
      </rPr>
      <t>本职模板</t>
    </r>
    <phoneticPr fontId="4" type="noConversion"/>
  </si>
  <si>
    <r>
      <rPr>
        <sz val="12"/>
        <color theme="1"/>
        <rFont val="Palatino Linotype"/>
        <family val="1"/>
      </rPr>
      <t>（待定）</t>
    </r>
  </si>
  <si>
    <r>
      <rPr>
        <b/>
        <sz val="12"/>
        <color theme="1"/>
        <rFont val="宋体"/>
        <family val="3"/>
        <charset val="134"/>
      </rPr>
      <t>体质</t>
    </r>
    <r>
      <rPr>
        <b/>
        <sz val="12"/>
        <color theme="1"/>
        <rFont val="Bookman Old Style"/>
        <family val="1"/>
      </rPr>
      <t>CON</t>
    </r>
    <phoneticPr fontId="4" type="noConversion"/>
  </si>
  <si>
    <r>
      <rPr>
        <b/>
        <sz val="12"/>
        <color theme="1"/>
        <rFont val="宋体"/>
        <family val="3"/>
        <charset val="134"/>
      </rPr>
      <t>外貌</t>
    </r>
    <r>
      <rPr>
        <b/>
        <sz val="12"/>
        <color theme="1"/>
        <rFont val="Bookman Old Style"/>
        <family val="1"/>
      </rPr>
      <t>APP</t>
    </r>
    <phoneticPr fontId="4" type="noConversion"/>
  </si>
  <si>
    <r>
      <rPr>
        <b/>
        <sz val="12"/>
        <color theme="1"/>
        <rFont val="宋体"/>
        <family val="3"/>
        <charset val="134"/>
      </rPr>
      <t>教育</t>
    </r>
    <r>
      <rPr>
        <b/>
        <sz val="12"/>
        <color theme="1"/>
        <rFont val="Bookman Old Style"/>
        <family val="1"/>
      </rPr>
      <t>EDU</t>
    </r>
    <phoneticPr fontId="4" type="noConversion"/>
  </si>
  <si>
    <r>
      <rPr>
        <sz val="12"/>
        <color theme="1"/>
        <rFont val="宋体"/>
        <family val="3"/>
        <charset val="134"/>
      </rPr>
      <t>年龄</t>
    </r>
    <phoneticPr fontId="4" type="noConversion"/>
  </si>
  <si>
    <r>
      <rPr>
        <sz val="12"/>
        <color theme="1"/>
        <rFont val="宋体"/>
        <family val="3"/>
        <charset val="134"/>
      </rPr>
      <t>性别</t>
    </r>
    <phoneticPr fontId="4" type="noConversion"/>
  </si>
  <si>
    <r>
      <rPr>
        <b/>
        <sz val="12"/>
        <color theme="1"/>
        <rFont val="宋体"/>
        <family val="3"/>
        <charset val="134"/>
      </rPr>
      <t>本表使用说明</t>
    </r>
    <phoneticPr fontId="4" type="noConversion"/>
  </si>
  <si>
    <r>
      <rPr>
        <sz val="12"/>
        <color theme="1"/>
        <rFont val="Palatino Linotype"/>
        <family val="1"/>
      </rPr>
      <t>英语</t>
    </r>
    <phoneticPr fontId="4" type="noConversion"/>
  </si>
  <si>
    <r>
      <rPr>
        <b/>
        <sz val="12"/>
        <color theme="1"/>
        <rFont val="宋体"/>
        <family val="3"/>
        <charset val="134"/>
      </rPr>
      <t>体形</t>
    </r>
    <r>
      <rPr>
        <b/>
        <sz val="12"/>
        <color theme="1"/>
        <rFont val="Bookman Old Style"/>
        <family val="1"/>
      </rPr>
      <t>SIZ</t>
    </r>
    <phoneticPr fontId="4" type="noConversion"/>
  </si>
  <si>
    <r>
      <rPr>
        <b/>
        <sz val="12"/>
        <color theme="1"/>
        <rFont val="宋体"/>
        <family val="3"/>
        <charset val="134"/>
      </rPr>
      <t>智力</t>
    </r>
    <r>
      <rPr>
        <b/>
        <sz val="12"/>
        <color theme="1"/>
        <rFont val="Bookman Old Style"/>
        <family val="1"/>
      </rPr>
      <t>INT</t>
    </r>
    <r>
      <rPr>
        <sz val="12"/>
        <color theme="1"/>
        <rFont val="Bookman Old Style"/>
        <family val="1"/>
      </rPr>
      <t xml:space="preserve">
</t>
    </r>
    <r>
      <rPr>
        <sz val="9"/>
        <color theme="1"/>
        <rFont val="宋体"/>
        <family val="3"/>
        <charset val="134"/>
      </rPr>
      <t>灵感</t>
    </r>
    <phoneticPr fontId="4" type="noConversion"/>
  </si>
  <si>
    <r>
      <rPr>
        <sz val="12"/>
        <color theme="1"/>
        <rFont val="宋体"/>
        <family val="3"/>
        <charset val="134"/>
      </rPr>
      <t>移动</t>
    </r>
    <r>
      <rPr>
        <sz val="12"/>
        <color theme="1"/>
        <rFont val="Bookman Old Style"/>
        <family val="1"/>
      </rPr>
      <t>MOV</t>
    </r>
    <phoneticPr fontId="4" type="noConversion"/>
  </si>
  <si>
    <r>
      <rPr>
        <sz val="12"/>
        <color theme="1"/>
        <rFont val="宋体"/>
        <family val="3"/>
        <charset val="134"/>
      </rPr>
      <t>年龄
修正</t>
    </r>
    <phoneticPr fontId="4" type="noConversion"/>
  </si>
  <si>
    <r>
      <rPr>
        <sz val="12"/>
        <color theme="1"/>
        <rFont val="Palatino Linotype"/>
        <family val="1"/>
      </rPr>
      <t>幸运</t>
    </r>
    <phoneticPr fontId="4" type="noConversion"/>
  </si>
  <si>
    <r>
      <rPr>
        <sz val="12"/>
        <color theme="1"/>
        <rFont val="宋体"/>
        <family val="3"/>
        <charset val="134"/>
      </rPr>
      <t xml:space="preserve">最大
</t>
    </r>
    <r>
      <rPr>
        <sz val="12"/>
        <color theme="1"/>
        <rFont val="Bookman Old Style"/>
        <family val="1"/>
      </rPr>
      <t>HP</t>
    </r>
    <phoneticPr fontId="4" type="noConversion"/>
  </si>
  <si>
    <r>
      <rPr>
        <sz val="12"/>
        <color theme="1"/>
        <rFont val="宋体"/>
        <family val="3"/>
        <charset val="134"/>
      </rPr>
      <t xml:space="preserve">最大
</t>
    </r>
    <r>
      <rPr>
        <sz val="12"/>
        <color theme="1"/>
        <rFont val="Bookman Old Style"/>
        <family val="1"/>
      </rPr>
      <t>MP</t>
    </r>
    <phoneticPr fontId="4" type="noConversion"/>
  </si>
  <si>
    <r>
      <rPr>
        <sz val="12"/>
        <color theme="1"/>
        <rFont val="宋体"/>
        <family val="3"/>
        <charset val="134"/>
      </rPr>
      <t xml:space="preserve">初始
</t>
    </r>
    <r>
      <rPr>
        <sz val="12"/>
        <color theme="1"/>
        <rFont val="Bookman Old Style"/>
        <family val="1"/>
      </rPr>
      <t>SAN</t>
    </r>
    <phoneticPr fontId="4" type="noConversion"/>
  </si>
  <si>
    <r>
      <rPr>
        <sz val="12"/>
        <color theme="1"/>
        <rFont val="宋体"/>
        <family val="3"/>
        <charset val="134"/>
      </rPr>
      <t>开团以后，请切换到左下角的</t>
    </r>
    <r>
      <rPr>
        <b/>
        <sz val="12"/>
        <color theme="1"/>
        <rFont val="宋体"/>
        <family val="3"/>
        <charset val="134"/>
      </rPr>
      <t>主要表</t>
    </r>
    <phoneticPr fontId="4" type="noConversion"/>
  </si>
  <si>
    <r>
      <rPr>
        <sz val="12"/>
        <color theme="1"/>
        <rFont val="Palatino Linotype"/>
        <family val="1"/>
      </rPr>
      <t>体格</t>
    </r>
    <phoneticPr fontId="4" type="noConversion"/>
  </si>
  <si>
    <r>
      <rPr>
        <sz val="12"/>
        <color theme="1"/>
        <rFont val="宋体"/>
        <family val="3"/>
        <charset val="134"/>
      </rPr>
      <t>里面有角色立绘栏和其他内容。</t>
    </r>
    <phoneticPr fontId="4" type="noConversion"/>
  </si>
  <si>
    <r>
      <t>2.</t>
    </r>
    <r>
      <rPr>
        <sz val="12"/>
        <color theme="1"/>
        <rFont val="宋体"/>
        <family val="3"/>
        <charset val="134"/>
      </rPr>
      <t>推荐缩放到</t>
    </r>
    <r>
      <rPr>
        <sz val="12"/>
        <color theme="1"/>
        <rFont val="Bookman Old Style"/>
        <family val="1"/>
      </rPr>
      <t>85%</t>
    </r>
    <r>
      <rPr>
        <sz val="12"/>
        <color theme="1"/>
        <rFont val="宋体"/>
        <family val="3"/>
        <charset val="134"/>
      </rPr>
      <t>使用。</t>
    </r>
    <phoneticPr fontId="4" type="noConversion"/>
  </si>
  <si>
    <r>
      <rPr>
        <sz val="12"/>
        <color theme="1"/>
        <rFont val="Palatino Linotype"/>
        <family val="1"/>
      </rPr>
      <t>本职点数</t>
    </r>
    <phoneticPr fontId="4" type="noConversion"/>
  </si>
  <si>
    <r>
      <rPr>
        <sz val="12"/>
        <color theme="1"/>
        <rFont val="宋体"/>
        <family val="3"/>
        <charset val="134"/>
      </rPr>
      <t>技能名</t>
    </r>
    <phoneticPr fontId="4" type="noConversion"/>
  </si>
  <si>
    <r>
      <rPr>
        <sz val="12"/>
        <color theme="1"/>
        <rFont val="宋体"/>
        <family val="3"/>
        <charset val="134"/>
      </rPr>
      <t>初始</t>
    </r>
    <phoneticPr fontId="4" type="noConversion"/>
  </si>
  <si>
    <r>
      <rPr>
        <sz val="12"/>
        <color theme="1"/>
        <rFont val="宋体"/>
        <family val="3"/>
        <charset val="134"/>
      </rPr>
      <t>本职</t>
    </r>
    <phoneticPr fontId="4" type="noConversion"/>
  </si>
  <si>
    <r>
      <rPr>
        <sz val="12"/>
        <color theme="1"/>
        <rFont val="宋体"/>
        <family val="3"/>
        <charset val="134"/>
      </rPr>
      <t>兴趣</t>
    </r>
    <phoneticPr fontId="4" type="noConversion"/>
  </si>
  <si>
    <r>
      <rPr>
        <sz val="12"/>
        <color theme="1"/>
        <rFont val="宋体"/>
        <family val="3"/>
        <charset val="134"/>
      </rPr>
      <t>成长</t>
    </r>
    <phoneticPr fontId="4" type="noConversion"/>
  </si>
  <si>
    <r>
      <rPr>
        <sz val="12"/>
        <color theme="1"/>
        <rFont val="宋体"/>
        <family val="3"/>
        <charset val="134"/>
      </rPr>
      <t>合计</t>
    </r>
    <phoneticPr fontId="4" type="noConversion"/>
  </si>
  <si>
    <r>
      <rPr>
        <sz val="12"/>
        <color theme="1"/>
        <rFont val="宋体"/>
        <family val="3"/>
        <charset val="134"/>
      </rPr>
      <t>初始</t>
    </r>
    <phoneticPr fontId="4" type="noConversion"/>
  </si>
  <si>
    <r>
      <rPr>
        <sz val="12"/>
        <color theme="1"/>
        <rFont val="宋体"/>
        <family val="3"/>
        <charset val="134"/>
      </rPr>
      <t>本职</t>
    </r>
    <phoneticPr fontId="4" type="noConversion"/>
  </si>
  <si>
    <r>
      <rPr>
        <sz val="12"/>
        <color theme="1"/>
        <rFont val="宋体"/>
        <family val="3"/>
        <charset val="134"/>
      </rPr>
      <t>兴趣</t>
    </r>
    <phoneticPr fontId="4" type="noConversion"/>
  </si>
  <si>
    <r>
      <rPr>
        <sz val="12"/>
        <color theme="1"/>
        <rFont val="宋体"/>
        <family val="3"/>
        <charset val="134"/>
      </rPr>
      <t>成长</t>
    </r>
    <phoneticPr fontId="4" type="noConversion"/>
  </si>
  <si>
    <r>
      <rPr>
        <sz val="12"/>
        <color theme="1"/>
        <rFont val="宋体"/>
        <family val="3"/>
        <charset val="134"/>
      </rPr>
      <t>技能名</t>
    </r>
    <phoneticPr fontId="4" type="noConversion"/>
  </si>
  <si>
    <r>
      <rPr>
        <sz val="12"/>
        <color theme="1"/>
        <rFont val="宋体"/>
        <family val="3"/>
        <charset val="134"/>
      </rPr>
      <t>初始</t>
    </r>
    <phoneticPr fontId="4" type="noConversion"/>
  </si>
  <si>
    <r>
      <rPr>
        <sz val="12"/>
        <color theme="1"/>
        <rFont val="宋体"/>
        <family val="3"/>
        <charset val="134"/>
      </rPr>
      <t>合计</t>
    </r>
    <phoneticPr fontId="4" type="noConversion"/>
  </si>
  <si>
    <r>
      <t>3.</t>
    </r>
    <r>
      <rPr>
        <sz val="12"/>
        <color theme="1"/>
        <rFont val="宋体"/>
        <family val="3"/>
        <charset val="134"/>
      </rPr>
      <t>本表中，白色格和彩色条纹格可自由</t>
    </r>
    <phoneticPr fontId="4" type="noConversion"/>
  </si>
  <si>
    <r>
      <rPr>
        <sz val="12"/>
        <color theme="1"/>
        <rFont val="Palatino Linotype"/>
        <family val="1"/>
      </rPr>
      <t>手动覆盖公式</t>
    </r>
    <phoneticPr fontId="4" type="noConversion"/>
  </si>
  <si>
    <r>
      <rPr>
        <sz val="12"/>
        <color theme="1"/>
        <rFont val="宋体"/>
        <family val="3"/>
        <charset val="134"/>
      </rPr>
      <t>填充，彩色格和灰色格一般不可覆写。</t>
    </r>
    <phoneticPr fontId="4" type="noConversion"/>
  </si>
  <si>
    <r>
      <rPr>
        <sz val="12"/>
        <color theme="1"/>
        <rFont val="Palatino Linotype"/>
        <family val="1"/>
      </rPr>
      <t>本职点数剩余</t>
    </r>
    <phoneticPr fontId="4" type="noConversion"/>
  </si>
  <si>
    <r>
      <rPr>
        <sz val="12"/>
        <color theme="1"/>
        <rFont val="Palatino Linotype"/>
        <family val="1"/>
      </rPr>
      <t>会计</t>
    </r>
    <phoneticPr fontId="4" type="noConversion"/>
  </si>
  <si>
    <r>
      <rPr>
        <sz val="12"/>
        <color theme="1"/>
        <rFont val="Palatino Linotype"/>
        <family val="1"/>
      </rPr>
      <t>射击分项</t>
    </r>
    <phoneticPr fontId="4" type="noConversion"/>
  </si>
  <si>
    <r>
      <rPr>
        <sz val="12"/>
        <color theme="1"/>
        <rFont val="Palatino Linotype"/>
        <family val="1"/>
      </rPr>
      <t>驾驶分项</t>
    </r>
    <phoneticPr fontId="4" type="noConversion"/>
  </si>
  <si>
    <r>
      <rPr>
        <sz val="12"/>
        <color theme="1"/>
        <rFont val="Palatino Linotype"/>
        <family val="1"/>
      </rPr>
      <t>兴趣点数</t>
    </r>
    <phoneticPr fontId="4" type="noConversion"/>
  </si>
  <si>
    <r>
      <rPr>
        <sz val="12"/>
        <color theme="1"/>
        <rFont val="宋体"/>
        <family val="3"/>
        <charset val="134"/>
      </rPr>
      <t>驯兽</t>
    </r>
    <phoneticPr fontId="4" type="noConversion"/>
  </si>
  <si>
    <r>
      <rPr>
        <sz val="12"/>
        <color theme="1"/>
        <rFont val="Palatino Linotype"/>
        <family val="1"/>
      </rPr>
      <t>急救</t>
    </r>
    <phoneticPr fontId="4" type="noConversion"/>
  </si>
  <si>
    <r>
      <rPr>
        <sz val="12"/>
        <color theme="1"/>
        <rFont val="宋体"/>
        <family val="3"/>
        <charset val="134"/>
      </rPr>
      <t>心理</t>
    </r>
    <phoneticPr fontId="4" type="noConversion"/>
  </si>
  <si>
    <r>
      <rPr>
        <sz val="12"/>
        <color theme="1"/>
        <rFont val="Palatino Linotype"/>
        <family val="1"/>
      </rPr>
      <t>兴趣点数剩余</t>
    </r>
    <phoneticPr fontId="4" type="noConversion"/>
  </si>
  <si>
    <r>
      <rPr>
        <sz val="12"/>
        <color theme="1"/>
        <rFont val="宋体"/>
        <family val="3"/>
        <charset val="134"/>
      </rPr>
      <t>人类学</t>
    </r>
    <phoneticPr fontId="4" type="noConversion"/>
  </si>
  <si>
    <r>
      <rPr>
        <sz val="12"/>
        <color theme="1"/>
        <rFont val="Palatino Linotype"/>
        <family val="1"/>
      </rPr>
      <t>历史</t>
    </r>
    <phoneticPr fontId="4" type="noConversion"/>
  </si>
  <si>
    <r>
      <rPr>
        <sz val="12"/>
        <color theme="1"/>
        <rFont val="Palatino Linotype"/>
        <family val="1"/>
      </rPr>
      <t>本职技能列表</t>
    </r>
    <phoneticPr fontId="4" type="noConversion"/>
  </si>
  <si>
    <r>
      <rPr>
        <sz val="12"/>
        <color theme="1"/>
        <rFont val="Palatino Linotype"/>
        <family val="1"/>
      </rPr>
      <t>信用范围</t>
    </r>
    <phoneticPr fontId="4" type="noConversion"/>
  </si>
  <si>
    <r>
      <rPr>
        <sz val="12"/>
        <color theme="1"/>
        <rFont val="宋体"/>
        <family val="3"/>
        <charset val="134"/>
      </rPr>
      <t>估价</t>
    </r>
    <phoneticPr fontId="4" type="noConversion"/>
  </si>
  <si>
    <r>
      <rPr>
        <sz val="12"/>
        <color theme="1"/>
        <rFont val="Palatino Linotype"/>
        <family val="1"/>
      </rPr>
      <t>恐吓</t>
    </r>
    <phoneticPr fontId="4" type="noConversion"/>
  </si>
  <si>
    <r>
      <rPr>
        <sz val="12"/>
        <color theme="1"/>
        <rFont val="Palatino Linotype"/>
        <family val="1"/>
      </rPr>
      <t>科学分项</t>
    </r>
    <phoneticPr fontId="4" type="noConversion"/>
  </si>
  <si>
    <r>
      <rPr>
        <sz val="12"/>
        <color theme="1"/>
        <rFont val="宋体"/>
        <family val="3"/>
        <charset val="134"/>
      </rPr>
      <t>考古</t>
    </r>
    <phoneticPr fontId="4" type="noConversion"/>
  </si>
  <si>
    <r>
      <rPr>
        <sz val="12"/>
        <color theme="1"/>
        <rFont val="Palatino Linotype"/>
        <family val="1"/>
      </rPr>
      <t>跳跃</t>
    </r>
    <phoneticPr fontId="4" type="noConversion"/>
  </si>
  <si>
    <r>
      <rPr>
        <sz val="12"/>
        <color theme="1"/>
        <rFont val="Palatino Linotype"/>
        <family val="1"/>
      </rPr>
      <t>科学分项</t>
    </r>
    <phoneticPr fontId="4" type="noConversion"/>
  </si>
  <si>
    <r>
      <rPr>
        <sz val="12"/>
        <color theme="1"/>
        <rFont val="宋体"/>
        <family val="3"/>
        <charset val="134"/>
      </rPr>
      <t>本职备注</t>
    </r>
    <phoneticPr fontId="4" type="noConversion"/>
  </si>
  <si>
    <r>
      <rPr>
        <sz val="12"/>
        <rFont val="Palatino Linotype"/>
        <family val="1"/>
      </rPr>
      <t>艺术分项</t>
    </r>
    <phoneticPr fontId="4" type="noConversion"/>
  </si>
  <si>
    <r>
      <rPr>
        <sz val="12"/>
        <color theme="1"/>
        <rFont val="Palatino Linotype"/>
        <family val="1"/>
      </rPr>
      <t>外语分项</t>
    </r>
    <phoneticPr fontId="4" type="noConversion"/>
  </si>
  <si>
    <r>
      <rPr>
        <sz val="12"/>
        <rFont val="Palatino Linotype"/>
        <family val="1"/>
      </rPr>
      <t>艺术分项</t>
    </r>
    <phoneticPr fontId="4" type="noConversion"/>
  </si>
  <si>
    <r>
      <rPr>
        <sz val="12"/>
        <color theme="1"/>
        <rFont val="Palatino Linotype"/>
        <family val="1"/>
      </rPr>
      <t>外语分项</t>
    </r>
    <phoneticPr fontId="4" type="noConversion"/>
  </si>
  <si>
    <r>
      <rPr>
        <sz val="12"/>
        <color theme="1"/>
        <rFont val="Palatino Linotype"/>
        <family val="1"/>
      </rPr>
      <t>妙手</t>
    </r>
    <phoneticPr fontId="4" type="noConversion"/>
  </si>
  <si>
    <r>
      <rPr>
        <sz val="12"/>
        <rFont val="Palatino Linotype"/>
        <family val="1"/>
      </rPr>
      <t>艺术分项</t>
    </r>
    <phoneticPr fontId="4" type="noConversion"/>
  </si>
  <si>
    <r>
      <rPr>
        <sz val="12"/>
        <color theme="1"/>
        <rFont val="Palatino Linotype"/>
        <family val="1"/>
      </rPr>
      <t>侦查</t>
    </r>
    <phoneticPr fontId="4" type="noConversion"/>
  </si>
  <si>
    <r>
      <rPr>
        <sz val="12"/>
        <color theme="1"/>
        <rFont val="宋体"/>
        <family val="3"/>
        <charset val="134"/>
      </rPr>
      <t>魅惑</t>
    </r>
    <phoneticPr fontId="4" type="noConversion"/>
  </si>
  <si>
    <r>
      <rPr>
        <sz val="12"/>
        <color theme="1"/>
        <rFont val="Palatino Linotype"/>
        <family val="1"/>
      </rPr>
      <t>潜行</t>
    </r>
    <phoneticPr fontId="4" type="noConversion"/>
  </si>
  <si>
    <r>
      <rPr>
        <sz val="12"/>
        <color theme="1"/>
        <rFont val="宋体"/>
        <family val="3"/>
        <charset val="134"/>
      </rPr>
      <t>攀爬</t>
    </r>
    <phoneticPr fontId="4" type="noConversion"/>
  </si>
  <si>
    <r>
      <rPr>
        <sz val="12"/>
        <color theme="1"/>
        <rFont val="Palatino Linotype"/>
        <family val="1"/>
      </rPr>
      <t>法律</t>
    </r>
    <phoneticPr fontId="4" type="noConversion"/>
  </si>
  <si>
    <r>
      <rPr>
        <sz val="12"/>
        <color theme="1"/>
        <rFont val="Palatino Linotype"/>
        <family val="1"/>
      </rPr>
      <t>生存分项</t>
    </r>
    <phoneticPr fontId="4" type="noConversion"/>
  </si>
  <si>
    <r>
      <rPr>
        <sz val="12"/>
        <color theme="1"/>
        <rFont val="宋体"/>
        <family val="3"/>
        <charset val="134"/>
      </rPr>
      <t>信用</t>
    </r>
    <phoneticPr fontId="4" type="noConversion"/>
  </si>
  <si>
    <r>
      <rPr>
        <sz val="12"/>
        <color theme="1"/>
        <rFont val="Palatino Linotype"/>
        <family val="1"/>
      </rPr>
      <t>图书馆</t>
    </r>
    <phoneticPr fontId="4" type="noConversion"/>
  </si>
  <si>
    <r>
      <rPr>
        <sz val="12"/>
        <color theme="1"/>
        <rFont val="Palatino Linotype"/>
        <family val="1"/>
      </rPr>
      <t>游泳</t>
    </r>
    <phoneticPr fontId="4" type="noConversion"/>
  </si>
  <si>
    <r>
      <rPr>
        <sz val="12"/>
        <color theme="1"/>
        <rFont val="宋体"/>
        <family val="3"/>
        <charset val="134"/>
      </rPr>
      <t>克苏鲁神话</t>
    </r>
    <phoneticPr fontId="4" type="noConversion"/>
  </si>
  <si>
    <r>
      <rPr>
        <sz val="12"/>
        <color theme="1"/>
        <rFont val="Palatino Linotype"/>
        <family val="1"/>
      </rPr>
      <t>聆听</t>
    </r>
    <phoneticPr fontId="4" type="noConversion"/>
  </si>
  <si>
    <r>
      <rPr>
        <sz val="12"/>
        <color theme="1"/>
        <rFont val="Palatino Linotype"/>
        <family val="1"/>
      </rPr>
      <t>投掷</t>
    </r>
    <phoneticPr fontId="4" type="noConversion"/>
  </si>
  <si>
    <r>
      <rPr>
        <sz val="12"/>
        <color theme="1"/>
        <rFont val="宋体"/>
        <family val="2"/>
        <charset val="134"/>
      </rPr>
      <t>工薪</t>
    </r>
  </si>
  <si>
    <r>
      <rPr>
        <sz val="12"/>
        <color theme="1"/>
        <rFont val="宋体"/>
        <family val="3"/>
        <charset val="134"/>
      </rPr>
      <t>乔装</t>
    </r>
    <phoneticPr fontId="4" type="noConversion"/>
  </si>
  <si>
    <r>
      <rPr>
        <sz val="12"/>
        <color theme="1"/>
        <rFont val="Palatino Linotype"/>
        <family val="1"/>
      </rPr>
      <t>锁匠</t>
    </r>
    <phoneticPr fontId="4" type="noConversion"/>
  </si>
  <si>
    <r>
      <rPr>
        <sz val="12"/>
        <color theme="1"/>
        <rFont val="宋体"/>
        <family val="3"/>
        <charset val="134"/>
      </rPr>
      <t>追踪</t>
    </r>
    <phoneticPr fontId="4" type="noConversion"/>
  </si>
  <si>
    <r>
      <rPr>
        <sz val="11"/>
        <color theme="1"/>
        <rFont val="宋体"/>
        <family val="3"/>
        <charset val="134"/>
      </rPr>
      <t>经历包和备注</t>
    </r>
    <phoneticPr fontId="4" type="noConversion"/>
  </si>
  <si>
    <r>
      <rPr>
        <sz val="12"/>
        <color theme="1"/>
        <rFont val="宋体"/>
        <family val="3"/>
        <charset val="134"/>
      </rPr>
      <t>闪避</t>
    </r>
    <phoneticPr fontId="4" type="noConversion"/>
  </si>
  <si>
    <r>
      <rPr>
        <sz val="12"/>
        <color theme="1"/>
        <rFont val="Palatino Linotype"/>
        <family val="1"/>
      </rPr>
      <t>机修</t>
    </r>
    <phoneticPr fontId="4" type="noConversion"/>
  </si>
  <si>
    <r>
      <rPr>
        <sz val="12"/>
        <color theme="1"/>
        <rFont val="宋体"/>
        <family val="3"/>
        <charset val="134"/>
      </rPr>
      <t>马车驾驶</t>
    </r>
    <phoneticPr fontId="4" type="noConversion"/>
  </si>
  <si>
    <r>
      <rPr>
        <sz val="12"/>
        <color theme="1"/>
        <rFont val="Palatino Linotype"/>
        <family val="1"/>
      </rPr>
      <t>医学</t>
    </r>
    <phoneticPr fontId="4" type="noConversion"/>
  </si>
  <si>
    <r>
      <rPr>
        <sz val="12"/>
        <color theme="1"/>
        <rFont val="Palatino Linotype"/>
        <family val="1"/>
      </rPr>
      <t>话术</t>
    </r>
    <phoneticPr fontId="4" type="noConversion"/>
  </si>
  <si>
    <r>
      <rPr>
        <sz val="12"/>
        <color theme="1"/>
        <rFont val="Palatino Linotype"/>
        <family val="1"/>
      </rPr>
      <t>自然</t>
    </r>
    <phoneticPr fontId="4" type="noConversion"/>
  </si>
  <si>
    <r>
      <rPr>
        <sz val="12"/>
        <color theme="1"/>
        <rFont val="宋体"/>
        <family val="3"/>
        <charset val="134"/>
      </rPr>
      <t>格斗</t>
    </r>
    <r>
      <rPr>
        <sz val="12"/>
        <color theme="1"/>
        <rFont val="Bookman Old Style"/>
        <family val="1"/>
      </rPr>
      <t>(</t>
    </r>
    <r>
      <rPr>
        <sz val="12"/>
        <color theme="1"/>
        <rFont val="宋体"/>
        <family val="3"/>
        <charset val="134"/>
      </rPr>
      <t>斗殴</t>
    </r>
    <r>
      <rPr>
        <sz val="12"/>
        <color theme="1"/>
        <rFont val="Bookman Old Style"/>
        <family val="1"/>
      </rPr>
      <t>)</t>
    </r>
    <phoneticPr fontId="4" type="noConversion"/>
  </si>
  <si>
    <r>
      <rPr>
        <sz val="12"/>
        <color theme="1"/>
        <rFont val="Palatino Linotype"/>
        <family val="1"/>
      </rPr>
      <t>导航</t>
    </r>
    <phoneticPr fontId="4" type="noConversion"/>
  </si>
  <si>
    <r>
      <rPr>
        <sz val="12"/>
        <color theme="1"/>
        <rFont val="Palatino Linotype"/>
        <family val="1"/>
      </rPr>
      <t>格斗分项</t>
    </r>
    <phoneticPr fontId="4" type="noConversion"/>
  </si>
  <si>
    <r>
      <rPr>
        <sz val="12"/>
        <color theme="1"/>
        <rFont val="Palatino Linotype"/>
        <family val="1"/>
      </rPr>
      <t>神秘学</t>
    </r>
    <phoneticPr fontId="4" type="noConversion"/>
  </si>
  <si>
    <r>
      <rPr>
        <sz val="12"/>
        <color theme="1"/>
        <rFont val="宋体"/>
        <family val="3"/>
        <charset val="134"/>
      </rPr>
      <t>自动审卡意见</t>
    </r>
    <phoneticPr fontId="4" type="noConversion"/>
  </si>
  <si>
    <r>
      <rPr>
        <sz val="12"/>
        <color theme="1"/>
        <rFont val="Palatino Linotype"/>
        <family val="1"/>
      </rPr>
      <t>格斗分项</t>
    </r>
    <phoneticPr fontId="4" type="noConversion"/>
  </si>
  <si>
    <r>
      <rPr>
        <sz val="12"/>
        <color theme="1"/>
        <rFont val="Palatino Linotype"/>
        <family val="1"/>
      </rPr>
      <t>重机</t>
    </r>
    <phoneticPr fontId="4" type="noConversion"/>
  </si>
  <si>
    <r>
      <rPr>
        <sz val="12"/>
        <color theme="1"/>
        <rFont val="宋体"/>
        <family val="3"/>
        <charset val="134"/>
      </rPr>
      <t>射击</t>
    </r>
    <r>
      <rPr>
        <sz val="12"/>
        <color theme="1"/>
        <rFont val="Bookman Old Style"/>
        <family val="1"/>
      </rPr>
      <t>(</t>
    </r>
    <r>
      <rPr>
        <sz val="12"/>
        <color theme="1"/>
        <rFont val="宋体"/>
        <family val="3"/>
        <charset val="134"/>
      </rPr>
      <t>手枪</t>
    </r>
    <r>
      <rPr>
        <sz val="12"/>
        <color theme="1"/>
        <rFont val="Bookman Old Style"/>
        <family val="1"/>
      </rPr>
      <t>)</t>
    </r>
    <phoneticPr fontId="4" type="noConversion"/>
  </si>
  <si>
    <r>
      <rPr>
        <sz val="12"/>
        <color theme="1"/>
        <rFont val="Palatino Linotype"/>
        <family val="1"/>
      </rPr>
      <t>说服</t>
    </r>
    <phoneticPr fontId="4" type="noConversion"/>
  </si>
  <si>
    <r>
      <rPr>
        <sz val="12"/>
        <color theme="1"/>
        <rFont val="宋体"/>
        <family val="3"/>
        <charset val="134"/>
      </rPr>
      <t>射击</t>
    </r>
    <r>
      <rPr>
        <sz val="12"/>
        <color theme="1"/>
        <rFont val="Bookman Old Style"/>
        <family val="1"/>
      </rPr>
      <t>(</t>
    </r>
    <r>
      <rPr>
        <sz val="12"/>
        <color theme="1"/>
        <rFont val="宋体"/>
        <family val="3"/>
        <charset val="134"/>
      </rPr>
      <t>步霰</t>
    </r>
    <r>
      <rPr>
        <sz val="12"/>
        <color theme="1"/>
        <rFont val="Bookman Old Style"/>
        <family val="1"/>
      </rPr>
      <t>)</t>
    </r>
    <phoneticPr fontId="4" type="noConversion"/>
  </si>
  <si>
    <r>
      <rPr>
        <sz val="12"/>
        <color theme="1"/>
        <rFont val="Palatino Linotype"/>
        <family val="1"/>
      </rPr>
      <t>驾驶分项</t>
    </r>
    <phoneticPr fontId="4" type="noConversion"/>
  </si>
  <si>
    <r>
      <rPr>
        <sz val="20"/>
        <color theme="0"/>
        <rFont val="华文中宋"/>
        <family val="3"/>
        <charset val="134"/>
      </rPr>
      <t>　　　人物背景</t>
    </r>
    <phoneticPr fontId="4" type="noConversion"/>
  </si>
  <si>
    <r>
      <rPr>
        <sz val="11"/>
        <color theme="0"/>
        <rFont val="宋体"/>
        <family val="3"/>
        <charset val="134"/>
      </rPr>
      <t>换行控制</t>
    </r>
    <phoneticPr fontId="4" type="noConversion"/>
  </si>
  <si>
    <r>
      <rPr>
        <sz val="12"/>
        <color theme="1"/>
        <rFont val="宋体"/>
        <family val="3"/>
        <charset val="134"/>
      </rPr>
      <t>居住地</t>
    </r>
    <phoneticPr fontId="4" type="noConversion"/>
  </si>
  <si>
    <r>
      <rPr>
        <sz val="12"/>
        <color theme="1"/>
        <rFont val="宋体"/>
        <family val="3"/>
        <charset val="134"/>
      </rPr>
      <t>出生地</t>
    </r>
    <phoneticPr fontId="4" type="noConversion"/>
  </si>
  <si>
    <r>
      <rPr>
        <sz val="12"/>
        <color theme="1"/>
        <rFont val="宋体"/>
        <family val="3"/>
        <charset val="134"/>
      </rPr>
      <t>人物形象</t>
    </r>
    <phoneticPr fontId="4" type="noConversion"/>
  </si>
  <si>
    <r>
      <rPr>
        <sz val="12"/>
        <color theme="1"/>
        <rFont val="宋体"/>
        <family val="3"/>
        <charset val="134"/>
      </rPr>
      <t>思想信念</t>
    </r>
    <phoneticPr fontId="4" type="noConversion"/>
  </si>
  <si>
    <r>
      <rPr>
        <sz val="12"/>
        <color theme="1"/>
        <rFont val="宋体"/>
        <family val="3"/>
        <charset val="134"/>
      </rPr>
      <t>重要之人</t>
    </r>
    <phoneticPr fontId="4" type="noConversion"/>
  </si>
  <si>
    <r>
      <rPr>
        <sz val="12"/>
        <color theme="1"/>
        <rFont val="宋体"/>
        <family val="3"/>
        <charset val="134"/>
      </rPr>
      <t>意义非凡之地</t>
    </r>
    <phoneticPr fontId="4" type="noConversion"/>
  </si>
  <si>
    <r>
      <rPr>
        <sz val="12"/>
        <color theme="1"/>
        <rFont val="宋体"/>
        <family val="3"/>
        <charset val="134"/>
      </rPr>
      <t>宝贵之物</t>
    </r>
    <phoneticPr fontId="4" type="noConversion"/>
  </si>
  <si>
    <r>
      <rPr>
        <sz val="12"/>
        <color theme="1"/>
        <rFont val="宋体"/>
        <family val="3"/>
        <charset val="134"/>
      </rPr>
      <t>个人特质</t>
    </r>
    <phoneticPr fontId="4" type="noConversion"/>
  </si>
  <si>
    <r>
      <rPr>
        <sz val="12"/>
        <color theme="1"/>
        <rFont val="宋体"/>
        <family val="3"/>
        <charset val="134"/>
      </rPr>
      <t>伤口和疤痕</t>
    </r>
    <phoneticPr fontId="4" type="noConversion"/>
  </si>
  <si>
    <r>
      <rPr>
        <sz val="12"/>
        <color theme="1"/>
        <rFont val="宋体"/>
        <family val="3"/>
        <charset val="134"/>
      </rPr>
      <t>恐惧、狂躁症</t>
    </r>
    <phoneticPr fontId="4" type="noConversion"/>
  </si>
  <si>
    <r>
      <rPr>
        <sz val="20"/>
        <color theme="0"/>
        <rFont val="华文中宋"/>
        <family val="3"/>
        <charset val="134"/>
      </rPr>
      <t>团前购物</t>
    </r>
    <phoneticPr fontId="4" type="noConversion"/>
  </si>
  <si>
    <r>
      <rPr>
        <sz val="12"/>
        <color theme="1"/>
        <rFont val="宋体"/>
        <family val="3"/>
        <charset val="134"/>
      </rPr>
      <t>消费水平</t>
    </r>
    <phoneticPr fontId="4" type="noConversion"/>
  </si>
  <si>
    <r>
      <rPr>
        <sz val="12"/>
        <color theme="1"/>
        <rFont val="宋体"/>
        <family val="3"/>
        <charset val="134"/>
      </rPr>
      <t>现金数量</t>
    </r>
    <phoneticPr fontId="4" type="noConversion"/>
  </si>
  <si>
    <r>
      <rPr>
        <sz val="12"/>
        <color theme="1"/>
        <rFont val="宋体"/>
        <family val="3"/>
        <charset val="134"/>
      </rPr>
      <t>资产总值</t>
    </r>
    <phoneticPr fontId="4" type="noConversion"/>
  </si>
  <si>
    <r>
      <rPr>
        <sz val="12"/>
        <color theme="1"/>
        <rFont val="宋体"/>
        <family val="3"/>
        <charset val="134"/>
      </rPr>
      <t>购物价格合计</t>
    </r>
    <phoneticPr fontId="4" type="noConversion"/>
  </si>
  <si>
    <r>
      <rPr>
        <sz val="12"/>
        <color theme="1"/>
        <rFont val="宋体"/>
        <family val="3"/>
        <charset val="134"/>
      </rPr>
      <t>道具名</t>
    </r>
    <phoneticPr fontId="4" type="noConversion"/>
  </si>
  <si>
    <r>
      <rPr>
        <sz val="12"/>
        <color theme="1"/>
        <rFont val="宋体"/>
        <family val="3"/>
        <charset val="134"/>
      </rPr>
      <t>道具价格</t>
    </r>
    <phoneticPr fontId="4" type="noConversion"/>
  </si>
  <si>
    <r>
      <rPr>
        <sz val="12"/>
        <color theme="1"/>
        <rFont val="宋体"/>
        <family val="3"/>
        <charset val="134"/>
      </rPr>
      <t>说明</t>
    </r>
    <phoneticPr fontId="4" type="noConversion"/>
  </si>
  <si>
    <r>
      <rPr>
        <sz val="12"/>
        <color theme="1"/>
        <rFont val="宋体"/>
        <family val="3"/>
        <charset val="134"/>
      </rPr>
      <t>道具名</t>
    </r>
    <phoneticPr fontId="4" type="noConversion"/>
  </si>
  <si>
    <r>
      <rPr>
        <sz val="12"/>
        <color theme="1"/>
        <rFont val="宋体"/>
        <family val="3"/>
        <charset val="134"/>
      </rPr>
      <t>道具价格</t>
    </r>
    <phoneticPr fontId="4" type="noConversion"/>
  </si>
  <si>
    <r>
      <rPr>
        <sz val="12"/>
        <color theme="1"/>
        <rFont val="宋体"/>
        <family val="3"/>
        <charset val="134"/>
      </rPr>
      <t>说明</t>
    </r>
    <phoneticPr fontId="4" type="noConversion"/>
  </si>
  <si>
    <r>
      <rPr>
        <sz val="12"/>
        <color theme="1"/>
        <rFont val="宋体"/>
        <family val="3"/>
        <charset val="134"/>
      </rPr>
      <t>武器名</t>
    </r>
    <phoneticPr fontId="4" type="noConversion"/>
  </si>
  <si>
    <r>
      <rPr>
        <sz val="12"/>
        <color theme="1"/>
        <rFont val="宋体"/>
        <family val="3"/>
        <charset val="134"/>
      </rPr>
      <t>使用技能</t>
    </r>
    <phoneticPr fontId="4" type="noConversion"/>
  </si>
  <si>
    <r>
      <rPr>
        <sz val="12"/>
        <color theme="1"/>
        <rFont val="宋体"/>
        <family val="3"/>
        <charset val="134"/>
      </rPr>
      <t>成功率</t>
    </r>
    <phoneticPr fontId="4" type="noConversion"/>
  </si>
  <si>
    <r>
      <rPr>
        <sz val="12"/>
        <color theme="1"/>
        <rFont val="宋体"/>
        <family val="3"/>
        <charset val="134"/>
      </rPr>
      <t>伤害</t>
    </r>
    <phoneticPr fontId="4" type="noConversion"/>
  </si>
  <si>
    <r>
      <rPr>
        <sz val="12"/>
        <color theme="1"/>
        <rFont val="宋体"/>
        <family val="3"/>
        <charset val="134"/>
      </rPr>
      <t>射程</t>
    </r>
    <phoneticPr fontId="4" type="noConversion"/>
  </si>
  <si>
    <r>
      <rPr>
        <sz val="12"/>
        <color theme="1"/>
        <rFont val="宋体"/>
        <family val="3"/>
        <charset val="134"/>
      </rPr>
      <t>每轮攻击</t>
    </r>
    <phoneticPr fontId="4" type="noConversion"/>
  </si>
  <si>
    <r>
      <rPr>
        <sz val="12"/>
        <color theme="1"/>
        <rFont val="宋体"/>
        <family val="3"/>
        <charset val="134"/>
      </rPr>
      <t>弹数</t>
    </r>
    <phoneticPr fontId="4" type="noConversion"/>
  </si>
  <si>
    <r>
      <rPr>
        <sz val="12"/>
        <color theme="1"/>
        <rFont val="宋体"/>
        <family val="3"/>
        <charset val="134"/>
      </rPr>
      <t>故障值</t>
    </r>
    <phoneticPr fontId="4" type="noConversion"/>
  </si>
  <si>
    <r>
      <rPr>
        <sz val="12"/>
        <color theme="1"/>
        <rFont val="宋体"/>
        <family val="3"/>
        <charset val="134"/>
      </rPr>
      <t>武器价格</t>
    </r>
    <phoneticPr fontId="4" type="noConversion"/>
  </si>
  <si>
    <r>
      <rPr>
        <sz val="12"/>
        <color theme="1"/>
        <rFont val="宋体"/>
        <family val="3"/>
        <charset val="134"/>
      </rPr>
      <t>徒手</t>
    </r>
    <phoneticPr fontId="4" type="noConversion"/>
  </si>
  <si>
    <r>
      <rPr>
        <sz val="12"/>
        <color theme="1"/>
        <rFont val="宋体"/>
        <family val="3"/>
        <charset val="134"/>
      </rPr>
      <t>格斗</t>
    </r>
    <r>
      <rPr>
        <sz val="12"/>
        <color theme="1"/>
        <rFont val="Bookman Old Style"/>
        <family val="1"/>
      </rPr>
      <t>(</t>
    </r>
    <r>
      <rPr>
        <sz val="12"/>
        <color theme="1"/>
        <rFont val="宋体"/>
        <family val="3"/>
        <charset val="134"/>
      </rPr>
      <t>斗殴</t>
    </r>
    <r>
      <rPr>
        <sz val="12"/>
        <color theme="1"/>
        <rFont val="Bookman Old Style"/>
        <family val="1"/>
      </rPr>
      <t>)</t>
    </r>
    <phoneticPr fontId="4" type="noConversion"/>
  </si>
  <si>
    <r>
      <rPr>
        <sz val="12"/>
        <color theme="1"/>
        <rFont val="宋体"/>
        <family val="3"/>
        <charset val="134"/>
      </rPr>
      <t>近</t>
    </r>
    <phoneticPr fontId="4" type="noConversion"/>
  </si>
  <si>
    <r>
      <rPr>
        <b/>
        <sz val="12"/>
        <color theme="1"/>
        <rFont val="宋体"/>
        <family val="3"/>
        <charset val="134"/>
      </rPr>
      <t>人物备注</t>
    </r>
    <phoneticPr fontId="4" type="noConversion"/>
  </si>
  <si>
    <t>A</t>
    <phoneticPr fontId="4" type="noConversion"/>
  </si>
  <si>
    <t>A</t>
    <phoneticPr fontId="4" type="noConversion"/>
  </si>
  <si>
    <t>A</t>
    <phoneticPr fontId="4" type="noConversion"/>
  </si>
  <si>
    <t>A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</si>
</sst>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0_ "/>
    <numFmt numFmtId="177" formatCode="\$#,##0.00;\-\$#,##0.00"/>
    <numFmt numFmtId="178" formatCode="\+0;\-0;\±0"/>
    <numFmt numFmtId="179" formatCode="\+0;\-0;;"/>
    <numFmt numFmtId="180" formatCode="General;General;"/>
    <numFmt numFmtId="181" formatCode="&quot;max&quot;0"/>
    <numFmt numFmtId="182" formatCode="0&quot;s&quot;"/>
    <numFmt numFmtId="183" formatCode="0&quot;p&quot;"/>
    <numFmt numFmtId="184" formatCode="[$£-809]#,##0;\-[$£-809]#,##0"/>
  </numFmts>
  <fonts count="56" x14ac:knownFonts="1">
    <font>
      <sz val="11"/>
      <color theme="1"/>
      <name val="宋体"/>
      <family val="2"/>
      <charset val="134"/>
      <scheme val="minor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20"/>
      <color theme="0"/>
      <name val="华文隶书"/>
      <family val="3"/>
      <charset val="134"/>
    </font>
    <font>
      <sz val="24"/>
      <color theme="0"/>
      <name val="华文隶书"/>
      <family val="3"/>
      <charset val="134"/>
    </font>
    <font>
      <sz val="12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宋体"/>
      <family val="3"/>
      <charset val="134"/>
    </font>
    <font>
      <b/>
      <sz val="12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sz val="24"/>
      <name val="Britannic Bold"/>
      <family val="2"/>
    </font>
    <font>
      <sz val="24"/>
      <color theme="1"/>
      <name val="Britannic Bold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theme="1"/>
      <name val="Palatino Linotype"/>
      <family val="1"/>
    </font>
    <font>
      <b/>
      <sz val="12"/>
      <color theme="1"/>
      <name val="Palatino Linotype"/>
      <family val="1"/>
    </font>
    <font>
      <sz val="11"/>
      <color theme="0"/>
      <name val="宋体"/>
      <family val="3"/>
      <charset val="134"/>
    </font>
    <font>
      <sz val="12"/>
      <name val="Palatino Linotype"/>
      <family val="1"/>
    </font>
    <font>
      <sz val="10"/>
      <color theme="1"/>
      <name val="Palatino Linotype"/>
      <family val="1"/>
    </font>
    <font>
      <sz val="12"/>
      <color theme="1"/>
      <name val="Britannic Bold"/>
      <family val="2"/>
    </font>
    <font>
      <sz val="11"/>
      <color rgb="FF000000"/>
      <name val="宋体"/>
      <family val="3"/>
      <charset val="134"/>
    </font>
    <font>
      <sz val="24"/>
      <color theme="0"/>
      <name val="华文中宋"/>
      <family val="3"/>
      <charset val="134"/>
    </font>
    <font>
      <sz val="20"/>
      <color theme="0"/>
      <name val="华文中宋"/>
      <family val="3"/>
      <charset val="134"/>
    </font>
    <font>
      <sz val="12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2"/>
      <color theme="0" tint="-0.14999847407452621"/>
      <name val="宋体"/>
      <family val="3"/>
      <charset val="134"/>
    </font>
    <font>
      <sz val="12"/>
      <color theme="1"/>
      <name val="Bookman Old Style"/>
      <family val="1"/>
    </font>
    <font>
      <sz val="24"/>
      <color theme="0"/>
      <name val="Bookman Old Style"/>
      <family val="1"/>
    </font>
    <font>
      <sz val="20"/>
      <color theme="1"/>
      <name val="Bookman Old Style"/>
      <family val="1"/>
    </font>
    <font>
      <b/>
      <sz val="12"/>
      <color theme="1"/>
      <name val="Bookman Old Style"/>
      <family val="1"/>
    </font>
    <font>
      <sz val="11"/>
      <color theme="1"/>
      <name val="Bookman Old Style"/>
      <family val="1"/>
    </font>
    <font>
      <sz val="11"/>
      <color theme="0"/>
      <name val="Bookman Old Style"/>
      <family val="1"/>
    </font>
    <font>
      <sz val="9"/>
      <color theme="1"/>
      <name val="Bookman Old Style"/>
      <family val="1"/>
    </font>
    <font>
      <b/>
      <sz val="9"/>
      <color theme="0"/>
      <name val="Bookman Old Style"/>
      <family val="1"/>
    </font>
    <font>
      <b/>
      <sz val="10"/>
      <color theme="0"/>
      <name val="Bookman Old Style"/>
      <family val="1"/>
    </font>
    <font>
      <b/>
      <sz val="10"/>
      <color rgb="FF00B0F0"/>
      <name val="Bookman Old Style"/>
      <family val="1"/>
    </font>
    <font>
      <sz val="12"/>
      <color theme="0"/>
      <name val="Bookman Old Style"/>
      <family val="1"/>
    </font>
    <font>
      <sz val="12"/>
      <color theme="0"/>
      <name val="宋体"/>
      <family val="3"/>
      <charset val="134"/>
    </font>
    <font>
      <sz val="20"/>
      <color theme="0"/>
      <name val="Bookman Old Style"/>
      <family val="1"/>
    </font>
    <font>
      <b/>
      <sz val="12"/>
      <color rgb="FF802E00"/>
      <name val="Bookman Old Style"/>
      <family val="1"/>
    </font>
    <font>
      <sz val="10"/>
      <color theme="1"/>
      <name val="Bookman Old Style"/>
      <family val="1"/>
    </font>
    <font>
      <b/>
      <sz val="24"/>
      <color theme="0"/>
      <name val="Bookman Old Style"/>
      <family val="1"/>
    </font>
    <font>
      <sz val="9"/>
      <color theme="0"/>
      <name val="Bookman Old Style"/>
      <family val="1"/>
    </font>
    <font>
      <sz val="12"/>
      <name val="Bookman Old Style"/>
      <family val="1"/>
    </font>
    <font>
      <sz val="12"/>
      <color theme="1"/>
      <name val="宋体"/>
      <family val="2"/>
      <charset val="134"/>
    </font>
    <font>
      <sz val="11"/>
      <color rgb="FFFF0000"/>
      <name val="Bookman Old Style"/>
      <family val="1"/>
    </font>
  </fonts>
  <fills count="11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2E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1CD"/>
        <bgColor indexed="64"/>
      </patternFill>
    </fill>
    <fill>
      <patternFill patternType="darkUp">
        <fgColor rgb="FFFFF1CD"/>
        <bgColor theme="0"/>
      </patternFill>
    </fill>
  </fills>
  <borders count="1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rgb="FFEAEAE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AEAEA"/>
      </bottom>
      <diagonal/>
    </border>
    <border>
      <left style="thin">
        <color indexed="64"/>
      </left>
      <right/>
      <top style="thin">
        <color indexed="64"/>
      </top>
      <bottom style="thin">
        <color rgb="FFEAEAEA"/>
      </bottom>
      <diagonal/>
    </border>
    <border>
      <left style="double">
        <color indexed="64"/>
      </left>
      <right style="thin">
        <color indexed="64"/>
      </right>
      <top style="thin">
        <color rgb="FFEAEAEA"/>
      </top>
      <bottom style="thin">
        <color rgb="FFEAEAEA"/>
      </bottom>
      <diagonal/>
    </border>
    <border>
      <left style="thin">
        <color indexed="64"/>
      </left>
      <right style="thin">
        <color indexed="64"/>
      </right>
      <top style="thin">
        <color rgb="FFEAEAEA"/>
      </top>
      <bottom style="thin">
        <color rgb="FFEAEAEA"/>
      </bottom>
      <diagonal/>
    </border>
    <border>
      <left style="thin">
        <color indexed="64"/>
      </left>
      <right/>
      <top style="thin">
        <color rgb="FFEAEAEA"/>
      </top>
      <bottom style="thin">
        <color rgb="FFEAEAEA"/>
      </bottom>
      <diagonal/>
    </border>
    <border>
      <left style="thin">
        <color indexed="64"/>
      </left>
      <right style="double">
        <color indexed="64"/>
      </right>
      <top style="thin">
        <color rgb="FFEAEAEA"/>
      </top>
      <bottom style="thin">
        <color rgb="FFEAEAEA"/>
      </bottom>
      <diagonal/>
    </border>
    <border>
      <left style="thin">
        <color indexed="64"/>
      </left>
      <right style="medium">
        <color indexed="64"/>
      </right>
      <top style="thin">
        <color rgb="FFEAEAEA"/>
      </top>
      <bottom style="thin">
        <color rgb="FFEAEAEA"/>
      </bottom>
      <diagonal/>
    </border>
    <border>
      <left style="double">
        <color indexed="64"/>
      </left>
      <right/>
      <top style="thin">
        <color rgb="FFEAEAEA"/>
      </top>
      <bottom style="thin">
        <color rgb="FFEAEAEA"/>
      </bottom>
      <diagonal/>
    </border>
    <border>
      <left/>
      <right/>
      <top style="thin">
        <color rgb="FFEAEAEA"/>
      </top>
      <bottom style="thin">
        <color rgb="FFEAEAEA"/>
      </bottom>
      <diagonal/>
    </border>
    <border>
      <left/>
      <right style="thin">
        <color indexed="64"/>
      </right>
      <top style="thin">
        <color rgb="FFEAEAEA"/>
      </top>
      <bottom style="thin">
        <color rgb="FFEAEAEA"/>
      </bottom>
      <diagonal/>
    </border>
    <border>
      <left style="medium">
        <color indexed="64"/>
      </left>
      <right/>
      <top style="thin">
        <color indexed="64"/>
      </top>
      <bottom style="thin">
        <color rgb="FFEAEAEA"/>
      </bottom>
      <diagonal/>
    </border>
    <border>
      <left/>
      <right/>
      <top style="thin">
        <color indexed="64"/>
      </top>
      <bottom style="thin">
        <color rgb="FFEAEAEA"/>
      </bottom>
      <diagonal/>
    </border>
    <border>
      <left/>
      <right style="thin">
        <color indexed="64"/>
      </right>
      <top style="thin">
        <color indexed="64"/>
      </top>
      <bottom style="thin">
        <color rgb="FFEAEAEA"/>
      </bottom>
      <diagonal/>
    </border>
    <border>
      <left/>
      <right style="double">
        <color indexed="64"/>
      </right>
      <top style="thin">
        <color indexed="64"/>
      </top>
      <bottom style="thin">
        <color rgb="FFEAEAEA"/>
      </bottom>
      <diagonal/>
    </border>
    <border>
      <left style="double">
        <color indexed="64"/>
      </left>
      <right/>
      <top style="thin">
        <color indexed="64"/>
      </top>
      <bottom style="thin">
        <color rgb="FFEAEAEA"/>
      </bottom>
      <diagonal/>
    </border>
    <border>
      <left style="medium">
        <color indexed="64"/>
      </left>
      <right/>
      <top style="thin">
        <color rgb="FFEAEAEA"/>
      </top>
      <bottom style="thin">
        <color rgb="FFEAEAEA"/>
      </bottom>
      <diagonal/>
    </border>
    <border>
      <left/>
      <right style="double">
        <color auto="1"/>
      </right>
      <top style="thin">
        <color rgb="FFEAEAEA"/>
      </top>
      <bottom style="thin">
        <color rgb="FFEAEAEA"/>
      </bottom>
      <diagonal/>
    </border>
    <border>
      <left style="medium">
        <color indexed="64"/>
      </left>
      <right/>
      <top style="thin">
        <color rgb="FFEAEAEA"/>
      </top>
      <bottom style="thin">
        <color indexed="64"/>
      </bottom>
      <diagonal/>
    </border>
    <border>
      <left style="thin">
        <color indexed="64"/>
      </left>
      <right/>
      <top style="thin">
        <color rgb="FFEAEAEA"/>
      </top>
      <bottom style="thin">
        <color indexed="64"/>
      </bottom>
      <diagonal/>
    </border>
    <border>
      <left/>
      <right/>
      <top style="thin">
        <color rgb="FFEAEAEA"/>
      </top>
      <bottom style="thin">
        <color indexed="64"/>
      </bottom>
      <diagonal/>
    </border>
    <border>
      <left/>
      <right style="thin">
        <color indexed="64"/>
      </right>
      <top style="thin">
        <color rgb="FFEAEAEA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AEAEA"/>
      </top>
      <bottom style="thin">
        <color indexed="64"/>
      </bottom>
      <diagonal/>
    </border>
    <border>
      <left/>
      <right style="double">
        <color indexed="64"/>
      </right>
      <top style="thin">
        <color rgb="FFEAEAEA"/>
      </top>
      <bottom style="thin">
        <color indexed="64"/>
      </bottom>
      <diagonal/>
    </border>
    <border>
      <left style="double">
        <color indexed="64"/>
      </left>
      <right/>
      <top style="thin">
        <color rgb="FFEAEAEA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rgb="FFEAEAEA"/>
      </top>
      <bottom/>
      <diagonal/>
    </border>
    <border>
      <left style="thin">
        <color indexed="64"/>
      </left>
      <right style="thin">
        <color indexed="64"/>
      </right>
      <top style="thin">
        <color rgb="FFEAEAEA"/>
      </top>
      <bottom/>
      <diagonal/>
    </border>
    <border>
      <left style="thin">
        <color indexed="64"/>
      </left>
      <right style="double">
        <color indexed="64"/>
      </right>
      <top style="thin">
        <color rgb="FFEAEAEA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rgb="FFEAEAEA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EAEAEA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EAEAEA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9" fillId="6" borderId="31" applyNumberFormat="0" applyFont="0" applyBorder="0">
      <alignment horizontal="center" vertical="center" shrinkToFit="1"/>
    </xf>
    <xf numFmtId="0" fontId="5" fillId="2" borderId="33" applyFont="0" applyBorder="0">
      <alignment horizontal="center" vertical="center" shrinkToFit="1"/>
    </xf>
    <xf numFmtId="0" fontId="6" fillId="9" borderId="1" applyNumberFormat="0" applyFont="0" applyBorder="0">
      <alignment horizontal="center" vertical="center" shrinkToFit="1"/>
    </xf>
  </cellStyleXfs>
  <cellXfs count="594">
    <xf numFmtId="0" fontId="0" fillId="0" borderId="0" xfId="0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58" fontId="12" fillId="0" borderId="0" xfId="0" applyNumberFormat="1" applyFont="1" applyAlignment="1">
      <alignment horizontal="right" vertical="center"/>
    </xf>
    <xf numFmtId="176" fontId="14" fillId="0" borderId="0" xfId="0" applyNumberFormat="1" applyFont="1">
      <alignment vertical="center"/>
    </xf>
    <xf numFmtId="17" fontId="12" fillId="0" borderId="0" xfId="0" applyNumberFormat="1" applyFont="1" applyAlignment="1">
      <alignment horizontal="right" vertical="center"/>
    </xf>
    <xf numFmtId="0" fontId="14" fillId="0" borderId="0" xfId="0" applyFo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4" borderId="0" xfId="0" applyNumberFormat="1" applyFont="1" applyFill="1" applyBorder="1" applyAlignment="1">
      <alignment horizontal="center" vertical="center"/>
    </xf>
    <xf numFmtId="0" fontId="17" fillId="0" borderId="0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6" fillId="2" borderId="0" xfId="2" applyFont="1" applyBorder="1">
      <alignment horizontal="center" vertical="center" shrinkToFit="1"/>
    </xf>
    <xf numFmtId="0" fontId="2" fillId="0" borderId="0" xfId="0" applyFont="1">
      <alignment vertical="center"/>
    </xf>
    <xf numFmtId="0" fontId="12" fillId="2" borderId="0" xfId="2" applyFont="1" applyBorder="1">
      <alignment horizontal="center" vertical="center" shrinkToFit="1"/>
    </xf>
    <xf numFmtId="0" fontId="0" fillId="2" borderId="0" xfId="2" applyFont="1" applyBorder="1">
      <alignment horizontal="center" vertical="center" shrinkToFit="1"/>
    </xf>
    <xf numFmtId="0" fontId="6" fillId="2" borderId="0" xfId="2" applyFont="1" applyBorder="1" applyAlignment="1">
      <alignment horizontal="center" vertical="center" shrinkToFit="1"/>
    </xf>
    <xf numFmtId="180" fontId="1" fillId="0" borderId="0" xfId="0" applyNumberFormat="1" applyFont="1">
      <alignment vertical="center"/>
    </xf>
    <xf numFmtId="0" fontId="3" fillId="0" borderId="29" xfId="0" applyFont="1" applyBorder="1">
      <alignment vertical="center"/>
    </xf>
    <xf numFmtId="0" fontId="2" fillId="0" borderId="0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9" xfId="0" applyBorder="1">
      <alignment vertical="center"/>
    </xf>
    <xf numFmtId="0" fontId="0" fillId="9" borderId="0" xfId="3" applyFont="1" applyBorder="1">
      <alignment horizontal="center" vertical="center" shrinkToFit="1"/>
    </xf>
    <xf numFmtId="177" fontId="0" fillId="0" borderId="0" xfId="0" applyNumberFormat="1">
      <alignment vertical="center"/>
    </xf>
    <xf numFmtId="177" fontId="0" fillId="0" borderId="29" xfId="0" applyNumberFormat="1" applyBorder="1">
      <alignment vertical="center"/>
    </xf>
    <xf numFmtId="182" fontId="0" fillId="9" borderId="0" xfId="3" applyNumberFormat="1" applyFont="1" applyBorder="1">
      <alignment horizontal="center" vertical="center" shrinkToFit="1"/>
    </xf>
    <xf numFmtId="182" fontId="0" fillId="0" borderId="0" xfId="0" applyNumberFormat="1">
      <alignment vertical="center"/>
    </xf>
    <xf numFmtId="182" fontId="0" fillId="0" borderId="29" xfId="0" applyNumberFormat="1" applyBorder="1">
      <alignment vertical="center"/>
    </xf>
    <xf numFmtId="182" fontId="3" fillId="0" borderId="0" xfId="0" applyNumberFormat="1" applyFont="1" applyAlignment="1">
      <alignment horizontal="right" vertical="center"/>
    </xf>
    <xf numFmtId="183" fontId="0" fillId="9" borderId="0" xfId="3" applyNumberFormat="1" applyFont="1" applyBorder="1">
      <alignment horizontal="center" vertical="center" shrinkToFit="1"/>
    </xf>
    <xf numFmtId="183" fontId="0" fillId="0" borderId="0" xfId="0" applyNumberFormat="1">
      <alignment vertical="center"/>
    </xf>
    <xf numFmtId="183" fontId="0" fillId="0" borderId="29" xfId="0" applyNumberFormat="1" applyBorder="1">
      <alignment vertical="center"/>
    </xf>
    <xf numFmtId="183" fontId="3" fillId="0" borderId="0" xfId="0" applyNumberFormat="1" applyFont="1" applyAlignment="1">
      <alignment horizontal="right" vertical="center"/>
    </xf>
    <xf numFmtId="182" fontId="3" fillId="0" borderId="0" xfId="0" applyNumberFormat="1" applyFont="1">
      <alignment vertical="center"/>
    </xf>
    <xf numFmtId="183" fontId="3" fillId="0" borderId="0" xfId="0" applyNumberFormat="1" applyFont="1">
      <alignment vertical="center"/>
    </xf>
    <xf numFmtId="184" fontId="0" fillId="9" borderId="0" xfId="3" applyNumberFormat="1" applyFont="1" applyBorder="1">
      <alignment horizontal="center" vertical="center" shrinkToFit="1"/>
    </xf>
    <xf numFmtId="184" fontId="3" fillId="0" borderId="0" xfId="0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58" fontId="33" fillId="6" borderId="46" xfId="1" quotePrefix="1" applyNumberFormat="1" applyFont="1" applyBorder="1" applyAlignment="1">
      <alignment shrinkToFit="1"/>
    </xf>
    <xf numFmtId="58" fontId="33" fillId="6" borderId="47" xfId="1" quotePrefix="1" applyNumberFormat="1" applyFont="1" applyBorder="1" applyAlignment="1">
      <alignment shrinkToFit="1"/>
    </xf>
    <xf numFmtId="0" fontId="0" fillId="7" borderId="0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0" xfId="0" applyFill="1" applyBorder="1" applyAlignment="1">
      <alignment horizontal="right" vertical="center"/>
    </xf>
    <xf numFmtId="176" fontId="14" fillId="7" borderId="0" xfId="0" applyNumberFormat="1" applyFont="1" applyFill="1" applyBorder="1">
      <alignment vertical="center"/>
    </xf>
    <xf numFmtId="184" fontId="12" fillId="7" borderId="0" xfId="0" applyNumberFormat="1" applyFont="1" applyFill="1" applyBorder="1">
      <alignment vertical="center"/>
    </xf>
    <xf numFmtId="182" fontId="12" fillId="7" borderId="0" xfId="0" applyNumberFormat="1" applyFont="1" applyFill="1" applyBorder="1">
      <alignment vertical="center"/>
    </xf>
    <xf numFmtId="183" fontId="12" fillId="7" borderId="0" xfId="0" applyNumberFormat="1" applyFont="1" applyFill="1" applyBorder="1">
      <alignment vertical="center"/>
    </xf>
    <xf numFmtId="176" fontId="35" fillId="7" borderId="0" xfId="0" applyNumberFormat="1" applyFont="1" applyFill="1" applyBorder="1">
      <alignment vertical="center"/>
    </xf>
    <xf numFmtId="0" fontId="0" fillId="7" borderId="44" xfId="0" applyFill="1" applyBorder="1">
      <alignment vertical="center"/>
    </xf>
    <xf numFmtId="176" fontId="12" fillId="7" borderId="44" xfId="0" applyNumberFormat="1" applyFont="1" applyFill="1" applyBorder="1">
      <alignment vertical="center"/>
    </xf>
    <xf numFmtId="0" fontId="0" fillId="7" borderId="52" xfId="0" applyFill="1" applyBorder="1">
      <alignment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9" fillId="9" borderId="1" xfId="3" applyFont="1" applyBorder="1" applyAlignment="1">
      <alignment horizontal="center" vertical="center" shrinkToFit="1"/>
    </xf>
    <xf numFmtId="0" fontId="19" fillId="9" borderId="5" xfId="3" applyFont="1" applyBorder="1" applyAlignment="1">
      <alignment horizontal="center" vertical="center" shrinkToFit="1"/>
    </xf>
    <xf numFmtId="0" fontId="20" fillId="9" borderId="13" xfId="3" applyFont="1" applyBorder="1" applyAlignment="1">
      <alignment horizontal="center" vertical="center" shrinkToFit="1"/>
    </xf>
    <xf numFmtId="0" fontId="20" fillId="9" borderId="1" xfId="3" applyFont="1" applyBorder="1" applyAlignment="1">
      <alignment horizontal="center" vertical="center" shrinkToFit="1"/>
    </xf>
    <xf numFmtId="0" fontId="20" fillId="9" borderId="62" xfId="3" applyFont="1" applyBorder="1" applyAlignment="1">
      <alignment horizontal="center" vertical="center" shrinkToFit="1"/>
    </xf>
    <xf numFmtId="0" fontId="20" fillId="9" borderId="63" xfId="3" applyFont="1" applyBorder="1" applyAlignment="1">
      <alignment horizontal="center" vertical="center" shrinkToFit="1"/>
    </xf>
    <xf numFmtId="0" fontId="20" fillId="9" borderId="64" xfId="3" applyFont="1" applyBorder="1" applyAlignment="1">
      <alignment horizontal="center" vertical="center" shrinkToFit="1"/>
    </xf>
    <xf numFmtId="0" fontId="20" fillId="9" borderId="18" xfId="3" applyFont="1" applyBorder="1" applyAlignment="1">
      <alignment horizontal="center" vertical="center" shrinkToFit="1"/>
    </xf>
    <xf numFmtId="0" fontId="20" fillId="9" borderId="29" xfId="3" applyFont="1" applyBorder="1" applyAlignment="1">
      <alignment horizontal="center" vertical="center" shrinkToFit="1"/>
    </xf>
    <xf numFmtId="0" fontId="20" fillId="9" borderId="19" xfId="3" applyFont="1" applyBorder="1" applyAlignment="1">
      <alignment horizontal="center" vertical="center" shrinkToFit="1"/>
    </xf>
    <xf numFmtId="0" fontId="32" fillId="6" borderId="45" xfId="1" applyFont="1" applyBorder="1" applyAlignment="1">
      <alignment horizontal="center" vertical="center" shrinkToFit="1"/>
    </xf>
    <xf numFmtId="0" fontId="32" fillId="6" borderId="46" xfId="1" applyFont="1" applyBorder="1" applyAlignment="1">
      <alignment horizontal="center" vertical="center" shrinkToFit="1"/>
    </xf>
    <xf numFmtId="0" fontId="19" fillId="9" borderId="9" xfId="3" applyFont="1" applyBorder="1" applyAlignment="1">
      <alignment horizontal="center" vertical="center" shrinkToFit="1"/>
    </xf>
    <xf numFmtId="0" fontId="19" fillId="9" borderId="8" xfId="3" applyFont="1" applyBorder="1" applyAlignment="1">
      <alignment horizontal="center" vertical="center" shrinkToFit="1"/>
    </xf>
    <xf numFmtId="0" fontId="19" fillId="9" borderId="1" xfId="3" applyNumberFormat="1" applyFont="1" applyBorder="1">
      <alignment horizontal="center" vertical="center" shrinkToFit="1"/>
    </xf>
    <xf numFmtId="0" fontId="19" fillId="9" borderId="5" xfId="3" applyNumberFormat="1" applyFont="1" applyBorder="1">
      <alignment horizontal="center" vertical="center" shrinkToFit="1"/>
    </xf>
    <xf numFmtId="0" fontId="19" fillId="9" borderId="28" xfId="3" applyNumberFormat="1" applyFont="1" applyBorder="1">
      <alignment horizontal="center" vertical="center" shrinkToFit="1"/>
    </xf>
    <xf numFmtId="0" fontId="19" fillId="9" borderId="6" xfId="3" applyNumberFormat="1" applyFont="1" applyBorder="1">
      <alignment horizontal="center" vertical="center" shrinkToFit="1"/>
    </xf>
    <xf numFmtId="0" fontId="19" fillId="9" borderId="110" xfId="3" applyNumberFormat="1" applyFont="1" applyBorder="1">
      <alignment horizontal="center" vertical="center" shrinkToFit="1"/>
    </xf>
    <xf numFmtId="0" fontId="19" fillId="9" borderId="111" xfId="3" applyNumberFormat="1" applyFont="1" applyBorder="1">
      <alignment horizontal="center" vertical="center" shrinkToFit="1"/>
    </xf>
    <xf numFmtId="0" fontId="20" fillId="0" borderId="13" xfId="3" applyFont="1" applyFill="1" applyBorder="1">
      <alignment horizontal="center" vertical="center" shrinkToFit="1"/>
    </xf>
    <xf numFmtId="0" fontId="20" fillId="0" borderId="1" xfId="3" applyFont="1" applyFill="1" applyBorder="1">
      <alignment horizontal="center" vertical="center" shrinkToFit="1"/>
    </xf>
    <xf numFmtId="0" fontId="20" fillId="0" borderId="62" xfId="3" applyFont="1" applyFill="1" applyBorder="1" applyAlignment="1">
      <alignment horizontal="center" vertical="center" shrinkToFit="1"/>
    </xf>
    <xf numFmtId="0" fontId="20" fillId="0" borderId="63" xfId="3" applyFont="1" applyFill="1" applyBorder="1" applyAlignment="1">
      <alignment horizontal="center" vertical="center" shrinkToFit="1"/>
    </xf>
    <xf numFmtId="0" fontId="20" fillId="0" borderId="18" xfId="3" applyFont="1" applyFill="1" applyBorder="1" applyAlignment="1">
      <alignment horizontal="center" vertical="center" shrinkToFit="1"/>
    </xf>
    <xf numFmtId="0" fontId="20" fillId="0" borderId="29" xfId="3" applyFont="1" applyFill="1" applyBorder="1" applyAlignment="1">
      <alignment horizontal="center" vertical="center" shrinkToFit="1"/>
    </xf>
    <xf numFmtId="0" fontId="29" fillId="3" borderId="24" xfId="0" applyFont="1" applyFill="1" applyBorder="1" applyAlignment="1">
      <alignment horizontal="right" vertical="center" shrinkToFit="1"/>
    </xf>
    <xf numFmtId="0" fontId="29" fillId="3" borderId="25" xfId="0" applyFont="1" applyFill="1" applyBorder="1" applyAlignment="1">
      <alignment horizontal="right" vertical="center" shrinkToFit="1"/>
    </xf>
    <xf numFmtId="0" fontId="29" fillId="3" borderId="0" xfId="0" applyFont="1" applyFill="1" applyBorder="1" applyAlignment="1">
      <alignment horizontal="right" vertical="center" shrinkToFit="1"/>
    </xf>
    <xf numFmtId="0" fontId="29" fillId="3" borderId="27" xfId="0" applyFont="1" applyFill="1" applyBorder="1" applyAlignment="1">
      <alignment horizontal="right" vertical="center" shrinkToFit="1"/>
    </xf>
    <xf numFmtId="0" fontId="29" fillId="3" borderId="44" xfId="0" applyFont="1" applyFill="1" applyBorder="1" applyAlignment="1">
      <alignment horizontal="right" vertical="center" shrinkToFit="1"/>
    </xf>
    <xf numFmtId="0" fontId="29" fillId="3" borderId="52" xfId="0" applyFont="1" applyFill="1" applyBorder="1" applyAlignment="1">
      <alignment horizontal="right" vertical="center" shrinkToFit="1"/>
    </xf>
    <xf numFmtId="0" fontId="17" fillId="0" borderId="0" xfId="0" applyNumberFormat="1" applyFont="1" applyFill="1" applyBorder="1" applyAlignment="1">
      <alignment horizontal="center" vertical="center"/>
    </xf>
    <xf numFmtId="0" fontId="6" fillId="2" borderId="0" xfId="2" applyFont="1" applyBorder="1" applyAlignment="1">
      <alignment horizontal="center" vertical="center" shrinkToFit="1"/>
    </xf>
    <xf numFmtId="177" fontId="6" fillId="2" borderId="0" xfId="2" applyNumberFormat="1" applyFont="1" applyBorder="1" applyAlignment="1">
      <alignment horizontal="center" vertical="center" shrinkToFit="1"/>
    </xf>
    <xf numFmtId="177" fontId="0" fillId="3" borderId="50" xfId="0" applyNumberFormat="1" applyFill="1" applyBorder="1" applyAlignment="1">
      <alignment horizontal="center" vertical="center"/>
    </xf>
    <xf numFmtId="177" fontId="0" fillId="3" borderId="24" xfId="0" applyNumberFormat="1" applyFill="1" applyBorder="1" applyAlignment="1">
      <alignment horizontal="center" vertical="center"/>
    </xf>
    <xf numFmtId="0" fontId="34" fillId="8" borderId="0" xfId="0" applyFont="1" applyFill="1" applyBorder="1" applyAlignment="1">
      <alignment horizontal="center" vertical="center"/>
    </xf>
    <xf numFmtId="0" fontId="34" fillId="8" borderId="27" xfId="0" applyFont="1" applyFill="1" applyBorder="1" applyAlignment="1">
      <alignment horizontal="center" vertical="center"/>
    </xf>
    <xf numFmtId="0" fontId="36" fillId="3" borderId="0" xfId="0" applyFont="1" applyFill="1" applyAlignment="1">
      <alignment horizontal="center" vertical="center" shrinkToFit="1"/>
    </xf>
    <xf numFmtId="0" fontId="37" fillId="6" borderId="45" xfId="1" applyFont="1" applyBorder="1" applyAlignment="1">
      <alignment horizontal="center" shrinkToFit="1"/>
    </xf>
    <xf numFmtId="0" fontId="37" fillId="6" borderId="46" xfId="1" applyFont="1" applyBorder="1" applyAlignment="1">
      <alignment horizontal="center" shrinkToFit="1"/>
    </xf>
    <xf numFmtId="0" fontId="37" fillId="6" borderId="47" xfId="1" applyFont="1" applyBorder="1" applyAlignment="1">
      <alignment horizontal="center" shrinkToFit="1"/>
    </xf>
    <xf numFmtId="0" fontId="37" fillId="6" borderId="48" xfId="1" applyFont="1" applyBorder="1" applyAlignment="1">
      <alignment horizontal="center" vertical="center" shrinkToFit="1"/>
    </xf>
    <xf numFmtId="0" fontId="37" fillId="6" borderId="46" xfId="1" applyFont="1" applyBorder="1" applyAlignment="1">
      <alignment horizontal="center" vertical="center" shrinkToFit="1"/>
    </xf>
    <xf numFmtId="0" fontId="38" fillId="3" borderId="32" xfId="0" applyFont="1" applyFill="1" applyBorder="1" applyAlignment="1">
      <alignment horizontal="center" vertical="center" shrinkToFit="1"/>
    </xf>
    <xf numFmtId="0" fontId="38" fillId="3" borderId="24" xfId="0" applyFont="1" applyFill="1" applyBorder="1" applyAlignment="1">
      <alignment horizontal="center" vertical="center" shrinkToFit="1"/>
    </xf>
    <xf numFmtId="0" fontId="38" fillId="3" borderId="25" xfId="0" applyFont="1" applyFill="1" applyBorder="1" applyAlignment="1">
      <alignment horizontal="center" vertical="center" shrinkToFit="1"/>
    </xf>
    <xf numFmtId="0" fontId="38" fillId="3" borderId="0" xfId="0" applyFont="1" applyFill="1" applyAlignment="1">
      <alignment horizontal="center" vertical="center" shrinkToFit="1"/>
    </xf>
    <xf numFmtId="0" fontId="36" fillId="2" borderId="33" xfId="2" applyFont="1" applyBorder="1">
      <alignment horizontal="center" vertical="center" shrinkToFit="1"/>
    </xf>
    <xf numFmtId="0" fontId="36" fillId="2" borderId="1" xfId="2" applyFont="1" applyBorder="1">
      <alignment horizontal="center" vertical="center" shrinkToFit="1"/>
    </xf>
    <xf numFmtId="180" fontId="36" fillId="9" borderId="1" xfId="3" applyNumberFormat="1" applyFont="1" applyBorder="1">
      <alignment horizontal="center" vertical="center" shrinkToFit="1"/>
    </xf>
    <xf numFmtId="180" fontId="36" fillId="9" borderId="9" xfId="3" applyNumberFormat="1" applyFont="1" applyBorder="1">
      <alignment horizontal="center" vertical="center" shrinkToFit="1"/>
    </xf>
    <xf numFmtId="0" fontId="39" fillId="2" borderId="11" xfId="2" applyFont="1" applyBorder="1">
      <alignment horizontal="center" vertical="center" shrinkToFit="1"/>
    </xf>
    <xf numFmtId="0" fontId="40" fillId="0" borderId="4" xfId="0" applyFont="1" applyBorder="1">
      <alignment vertical="center"/>
    </xf>
    <xf numFmtId="0" fontId="40" fillId="0" borderId="6" xfId="0" applyFont="1" applyBorder="1">
      <alignment vertical="center"/>
    </xf>
    <xf numFmtId="0" fontId="39" fillId="9" borderId="1" xfId="3" applyFont="1" applyBorder="1">
      <alignment horizontal="center" vertical="center" shrinkToFit="1"/>
    </xf>
    <xf numFmtId="0" fontId="36" fillId="9" borderId="1" xfId="3" applyFont="1" applyBorder="1" applyAlignment="1">
      <alignment horizontal="left" vertical="center" shrinkToFit="1"/>
    </xf>
    <xf numFmtId="0" fontId="39" fillId="2" borderId="1" xfId="2" applyFont="1" applyBorder="1">
      <alignment horizontal="center" vertical="center" shrinkToFit="1"/>
    </xf>
    <xf numFmtId="0" fontId="36" fillId="9" borderId="9" xfId="3" applyFont="1" applyBorder="1" applyAlignment="1">
      <alignment horizontal="left" vertical="center" shrinkToFit="1"/>
    </xf>
    <xf numFmtId="0" fontId="38" fillId="3" borderId="12" xfId="0" applyFont="1" applyFill="1" applyBorder="1" applyAlignment="1">
      <alignment horizontal="center" vertical="center" shrinkToFit="1"/>
    </xf>
    <xf numFmtId="0" fontId="38" fillId="3" borderId="0" xfId="0" applyFont="1" applyFill="1" applyBorder="1" applyAlignment="1">
      <alignment horizontal="center" vertical="center" shrinkToFit="1"/>
    </xf>
    <xf numFmtId="0" fontId="38" fillId="3" borderId="27" xfId="0" applyFont="1" applyFill="1" applyBorder="1" applyAlignment="1">
      <alignment horizontal="center" vertical="center" shrinkToFit="1"/>
    </xf>
    <xf numFmtId="0" fontId="40" fillId="0" borderId="30" xfId="0" applyFont="1" applyBorder="1">
      <alignment vertical="center"/>
    </xf>
    <xf numFmtId="0" fontId="40" fillId="0" borderId="29" xfId="0" applyFont="1" applyBorder="1">
      <alignment vertical="center"/>
    </xf>
    <xf numFmtId="0" fontId="40" fillId="0" borderId="19" xfId="0" applyFont="1" applyBorder="1">
      <alignment vertical="center"/>
    </xf>
    <xf numFmtId="178" fontId="36" fillId="0" borderId="1" xfId="3" applyNumberFormat="1" applyFont="1" applyFill="1" applyBorder="1">
      <alignment horizontal="center" vertical="center" shrinkToFit="1"/>
    </xf>
    <xf numFmtId="0" fontId="36" fillId="9" borderId="1" xfId="3" applyFont="1" applyBorder="1" applyAlignment="1">
      <alignment horizontal="right" vertical="center" shrinkToFit="1"/>
    </xf>
    <xf numFmtId="0" fontId="36" fillId="9" borderId="9" xfId="3" applyFont="1" applyBorder="1" applyAlignment="1">
      <alignment horizontal="right" vertical="center" shrinkToFit="1"/>
    </xf>
    <xf numFmtId="0" fontId="36" fillId="10" borderId="1" xfId="0" applyFont="1" applyFill="1" applyBorder="1" applyAlignment="1">
      <alignment horizontal="center" vertical="center" shrinkToFit="1"/>
    </xf>
    <xf numFmtId="0" fontId="36" fillId="10" borderId="9" xfId="0" applyFont="1" applyFill="1" applyBorder="1" applyAlignment="1">
      <alignment horizontal="center" vertical="center" shrinkToFit="1"/>
    </xf>
    <xf numFmtId="0" fontId="39" fillId="2" borderId="14" xfId="2" applyFont="1" applyBorder="1">
      <alignment horizontal="center" vertical="center" shrinkToFit="1"/>
    </xf>
    <xf numFmtId="0" fontId="36" fillId="9" borderId="20" xfId="3" applyFont="1" applyBorder="1">
      <alignment horizontal="center" vertical="center" shrinkToFit="1"/>
    </xf>
    <xf numFmtId="0" fontId="36" fillId="9" borderId="21" xfId="3" applyFont="1" applyBorder="1">
      <alignment horizontal="center" vertical="center" shrinkToFit="1"/>
    </xf>
    <xf numFmtId="180" fontId="36" fillId="9" borderId="20" xfId="3" applyNumberFormat="1" applyFont="1" applyBorder="1">
      <alignment horizontal="center" vertical="center" shrinkToFit="1"/>
    </xf>
    <xf numFmtId="180" fontId="36" fillId="9" borderId="10" xfId="3" applyNumberFormat="1" applyFont="1" applyBorder="1">
      <alignment horizontal="center" vertical="center" shrinkToFit="1"/>
    </xf>
    <xf numFmtId="0" fontId="40" fillId="9" borderId="20" xfId="3" applyFont="1" applyBorder="1">
      <alignment horizontal="center" vertical="center" shrinkToFit="1"/>
    </xf>
    <xf numFmtId="0" fontId="40" fillId="9" borderId="3" xfId="3" applyFont="1" applyBorder="1">
      <alignment horizontal="center" vertical="center" shrinkToFit="1"/>
    </xf>
    <xf numFmtId="0" fontId="40" fillId="9" borderId="10" xfId="3" applyFont="1" applyBorder="1">
      <alignment horizontal="center" vertical="center" shrinkToFit="1"/>
    </xf>
    <xf numFmtId="0" fontId="36" fillId="2" borderId="1" xfId="2" applyFont="1" applyBorder="1" applyAlignment="1">
      <alignment horizontal="center" vertical="center" wrapText="1" shrinkToFit="1"/>
    </xf>
    <xf numFmtId="0" fontId="36" fillId="2" borderId="112" xfId="2" applyFont="1" applyBorder="1" applyAlignment="1">
      <alignment horizontal="center" vertical="center" wrapText="1" shrinkToFit="1"/>
    </xf>
    <xf numFmtId="0" fontId="36" fillId="2" borderId="40" xfId="2" applyFont="1" applyBorder="1" applyAlignment="1">
      <alignment horizontal="center" vertical="center" shrinkToFit="1"/>
    </xf>
    <xf numFmtId="0" fontId="36" fillId="9" borderId="1" xfId="3" applyFont="1" applyBorder="1">
      <alignment horizontal="center" vertical="center" shrinkToFit="1"/>
    </xf>
    <xf numFmtId="0" fontId="36" fillId="9" borderId="9" xfId="3" applyFont="1" applyBorder="1">
      <alignment horizontal="center" vertical="center" shrinkToFit="1"/>
    </xf>
    <xf numFmtId="0" fontId="39" fillId="2" borderId="15" xfId="2" applyFont="1" applyBorder="1">
      <alignment horizontal="center" vertical="center" shrinkToFit="1"/>
    </xf>
    <xf numFmtId="0" fontId="39" fillId="2" borderId="5" xfId="2" applyFont="1" applyBorder="1">
      <alignment horizontal="center" vertical="center" shrinkToFit="1"/>
    </xf>
    <xf numFmtId="178" fontId="36" fillId="0" borderId="5" xfId="3" applyNumberFormat="1" applyFont="1" applyFill="1" applyBorder="1">
      <alignment horizontal="center" vertical="center" shrinkToFit="1"/>
    </xf>
    <xf numFmtId="0" fontId="36" fillId="9" borderId="5" xfId="3" applyFont="1" applyBorder="1" applyAlignment="1">
      <alignment horizontal="right" vertical="center" shrinkToFit="1"/>
    </xf>
    <xf numFmtId="0" fontId="36" fillId="2" borderId="5" xfId="2" applyFont="1" applyBorder="1" applyAlignment="1">
      <alignment horizontal="center" vertical="center" wrapText="1" shrinkToFit="1"/>
    </xf>
    <xf numFmtId="0" fontId="36" fillId="2" borderId="16" xfId="2" applyFont="1" applyBorder="1" applyAlignment="1">
      <alignment horizontal="center" vertical="center" shrinkToFit="1"/>
    </xf>
    <xf numFmtId="0" fontId="36" fillId="3" borderId="0" xfId="0" applyFont="1" applyFill="1" applyBorder="1" applyAlignment="1">
      <alignment horizontal="center" vertical="center" shrinkToFit="1"/>
    </xf>
    <xf numFmtId="0" fontId="36" fillId="2" borderId="50" xfId="2" applyFont="1" applyBorder="1">
      <alignment horizontal="center" vertical="center" shrinkToFit="1"/>
    </xf>
    <xf numFmtId="0" fontId="36" fillId="2" borderId="24" xfId="2" applyFont="1" applyBorder="1">
      <alignment horizontal="center" vertical="center" shrinkToFit="1"/>
    </xf>
    <xf numFmtId="0" fontId="36" fillId="2" borderId="67" xfId="2" applyFont="1" applyBorder="1" applyAlignment="1">
      <alignment horizontal="center" vertical="center" shrinkToFit="1"/>
    </xf>
    <xf numFmtId="0" fontId="36" fillId="2" borderId="64" xfId="2" applyFont="1" applyBorder="1" applyAlignment="1">
      <alignment horizontal="center" vertical="center" shrinkToFit="1"/>
    </xf>
    <xf numFmtId="0" fontId="36" fillId="2" borderId="62" xfId="2" applyFont="1" applyBorder="1" applyAlignment="1">
      <alignment horizontal="center" vertical="center" shrinkToFit="1"/>
    </xf>
    <xf numFmtId="0" fontId="36" fillId="2" borderId="13" xfId="2" applyFont="1" applyBorder="1" applyAlignment="1">
      <alignment horizontal="center" vertical="center" wrapText="1" shrinkToFit="1"/>
    </xf>
    <xf numFmtId="0" fontId="36" fillId="2" borderId="13" xfId="2" applyFont="1" applyBorder="1">
      <alignment horizontal="center" vertical="center" shrinkToFit="1"/>
    </xf>
    <xf numFmtId="0" fontId="36" fillId="2" borderId="66" xfId="2" applyFont="1" applyBorder="1" applyAlignment="1">
      <alignment horizontal="center" vertical="center" shrinkToFit="1"/>
    </xf>
    <xf numFmtId="0" fontId="36" fillId="2" borderId="13" xfId="2" applyFont="1" applyBorder="1" applyAlignment="1">
      <alignment horizontal="center" vertical="center" shrinkToFit="1"/>
    </xf>
    <xf numFmtId="0" fontId="36" fillId="9" borderId="13" xfId="3" applyFont="1" applyBorder="1" applyAlignment="1">
      <alignment horizontal="center" vertical="center" shrinkToFit="1"/>
    </xf>
    <xf numFmtId="0" fontId="36" fillId="2" borderId="26" xfId="2" applyFont="1" applyBorder="1">
      <alignment horizontal="center" vertical="center" shrinkToFit="1"/>
    </xf>
    <xf numFmtId="0" fontId="36" fillId="2" borderId="0" xfId="2" applyFont="1" applyBorder="1">
      <alignment horizontal="center" vertical="center" shrinkToFit="1"/>
    </xf>
    <xf numFmtId="0" fontId="36" fillId="3" borderId="1" xfId="0" applyFont="1" applyFill="1" applyBorder="1" applyAlignment="1">
      <alignment horizontal="center" vertical="center" shrinkToFit="1"/>
    </xf>
    <xf numFmtId="0" fontId="36" fillId="3" borderId="9" xfId="0" applyFont="1" applyFill="1" applyBorder="1" applyAlignment="1">
      <alignment horizontal="center" vertical="center" shrinkToFit="1"/>
    </xf>
    <xf numFmtId="181" fontId="36" fillId="9" borderId="4" xfId="3" applyNumberFormat="1" applyFont="1" applyBorder="1">
      <alignment horizontal="center" vertical="center" shrinkToFit="1"/>
    </xf>
    <xf numFmtId="181" fontId="36" fillId="9" borderId="6" xfId="3" applyNumberFormat="1" applyFont="1" applyBorder="1">
      <alignment horizontal="center" vertical="center" shrinkToFit="1"/>
    </xf>
    <xf numFmtId="181" fontId="36" fillId="9" borderId="28" xfId="3" applyNumberFormat="1" applyFont="1" applyBorder="1" applyAlignment="1">
      <alignment horizontal="center" vertical="center" shrinkToFit="1"/>
    </xf>
    <xf numFmtId="181" fontId="36" fillId="9" borderId="6" xfId="3" applyNumberFormat="1" applyFont="1" applyBorder="1" applyAlignment="1">
      <alignment horizontal="center" vertical="center" shrinkToFit="1"/>
    </xf>
    <xf numFmtId="0" fontId="36" fillId="2" borderId="21" xfId="2" applyFont="1" applyBorder="1">
      <alignment horizontal="center" vertical="center" shrinkToFit="1"/>
    </xf>
    <xf numFmtId="0" fontId="36" fillId="9" borderId="1" xfId="3" applyFont="1" applyBorder="1" applyAlignment="1">
      <alignment horizontal="center" vertical="center" shrinkToFit="1"/>
    </xf>
    <xf numFmtId="0" fontId="40" fillId="2" borderId="41" xfId="2" applyFont="1" applyBorder="1" applyAlignment="1">
      <alignment horizontal="center" vertical="center" shrinkToFit="1"/>
    </xf>
    <xf numFmtId="0" fontId="40" fillId="2" borderId="3" xfId="2" applyFont="1" applyBorder="1" applyAlignment="1">
      <alignment horizontal="center" vertical="center" shrinkToFit="1"/>
    </xf>
    <xf numFmtId="0" fontId="40" fillId="0" borderId="20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36" fillId="0" borderId="21" xfId="2" applyFont="1" applyFill="1" applyBorder="1" applyAlignment="1">
      <alignment horizontal="center" vertical="center" shrinkToFit="1"/>
    </xf>
    <xf numFmtId="0" fontId="36" fillId="2" borderId="28" xfId="2" applyFont="1" applyBorder="1">
      <alignment horizontal="center" vertical="center" shrinkToFit="1"/>
    </xf>
    <xf numFmtId="0" fontId="36" fillId="2" borderId="6" xfId="2" applyFont="1" applyBorder="1">
      <alignment horizontal="center" vertical="center" shrinkToFit="1"/>
    </xf>
    <xf numFmtId="0" fontId="36" fillId="2" borderId="20" xfId="2" applyFont="1" applyBorder="1">
      <alignment horizontal="center" vertical="center" shrinkToFit="1"/>
    </xf>
    <xf numFmtId="0" fontId="36" fillId="2" borderId="3" xfId="2" applyFont="1" applyBorder="1">
      <alignment horizontal="center" vertical="center" shrinkToFit="1"/>
    </xf>
    <xf numFmtId="0" fontId="36" fillId="2" borderId="4" xfId="2" applyFont="1" applyBorder="1">
      <alignment horizontal="center" vertical="center" shrinkToFit="1"/>
    </xf>
    <xf numFmtId="0" fontId="36" fillId="2" borderId="51" xfId="2" applyFont="1" applyBorder="1">
      <alignment horizontal="center" vertical="center" shrinkToFit="1"/>
    </xf>
    <xf numFmtId="0" fontId="36" fillId="2" borderId="44" xfId="2" applyFont="1" applyBorder="1">
      <alignment horizontal="center" vertical="center" shrinkToFit="1"/>
    </xf>
    <xf numFmtId="0" fontId="41" fillId="0" borderId="1" xfId="0" applyFont="1" applyBorder="1" applyAlignment="1">
      <alignment horizontal="center" vertical="center"/>
    </xf>
    <xf numFmtId="0" fontId="36" fillId="2" borderId="37" xfId="2" applyFont="1" applyBorder="1" applyAlignment="1">
      <alignment horizontal="center" vertical="center" shrinkToFit="1"/>
    </xf>
    <xf numFmtId="0" fontId="38" fillId="3" borderId="30" xfId="0" applyFont="1" applyFill="1" applyBorder="1" applyAlignment="1">
      <alignment horizontal="center" vertical="center" shrinkToFit="1"/>
    </xf>
    <xf numFmtId="0" fontId="38" fillId="3" borderId="29" xfId="0" applyFont="1" applyFill="1" applyBorder="1" applyAlignment="1">
      <alignment horizontal="center" vertical="center" shrinkToFit="1"/>
    </xf>
    <xf numFmtId="0" fontId="38" fillId="3" borderId="36" xfId="0" applyFont="1" applyFill="1" applyBorder="1" applyAlignment="1">
      <alignment horizontal="center" vertical="center" shrinkToFit="1"/>
    </xf>
    <xf numFmtId="0" fontId="42" fillId="3" borderId="0" xfId="0" applyFont="1" applyFill="1" applyAlignment="1">
      <alignment horizontal="center" vertical="center" shrinkToFit="1"/>
    </xf>
    <xf numFmtId="0" fontId="43" fillId="3" borderId="26" xfId="0" applyFont="1" applyFill="1" applyBorder="1" applyAlignment="1">
      <alignment horizontal="center" vertical="center" shrinkToFit="1"/>
    </xf>
    <xf numFmtId="0" fontId="42" fillId="3" borderId="0" xfId="0" applyFont="1" applyFill="1" applyBorder="1" applyAlignment="1">
      <alignment horizontal="center" vertical="center" shrinkToFit="1"/>
    </xf>
    <xf numFmtId="0" fontId="44" fillId="3" borderId="0" xfId="0" applyFont="1" applyFill="1" applyBorder="1" applyAlignment="1">
      <alignment horizontal="center" vertical="center" shrinkToFit="1"/>
    </xf>
    <xf numFmtId="0" fontId="45" fillId="3" borderId="0" xfId="0" applyFont="1" applyFill="1" applyBorder="1" applyAlignment="1">
      <alignment horizontal="center" vertical="center" shrinkToFit="1"/>
    </xf>
    <xf numFmtId="0" fontId="42" fillId="3" borderId="56" xfId="0" applyFont="1" applyFill="1" applyBorder="1" applyAlignment="1">
      <alignment horizontal="center" vertical="center" shrinkToFit="1"/>
    </xf>
    <xf numFmtId="0" fontId="46" fillId="6" borderId="45" xfId="1" applyFont="1" applyBorder="1" applyAlignment="1">
      <alignment horizontal="left" shrinkToFit="1"/>
    </xf>
    <xf numFmtId="0" fontId="46" fillId="6" borderId="46" xfId="1" applyFont="1" applyBorder="1" applyAlignment="1">
      <alignment horizontal="left" shrinkToFit="1"/>
    </xf>
    <xf numFmtId="0" fontId="46" fillId="6" borderId="46" xfId="1" applyFont="1" applyBorder="1" applyAlignment="1">
      <alignment horizontal="center" shrinkToFit="1"/>
    </xf>
    <xf numFmtId="0" fontId="46" fillId="6" borderId="46" xfId="1" applyFont="1" applyBorder="1" applyAlignment="1">
      <alignment horizontal="right" shrinkToFit="1"/>
    </xf>
    <xf numFmtId="0" fontId="46" fillId="6" borderId="46" xfId="1" applyFont="1" applyBorder="1" applyAlignment="1">
      <alignment shrinkToFit="1"/>
    </xf>
    <xf numFmtId="0" fontId="48" fillId="6" borderId="46" xfId="1" applyFont="1" applyBorder="1" applyAlignment="1">
      <alignment horizontal="center" vertical="center" shrinkToFit="1"/>
    </xf>
    <xf numFmtId="0" fontId="48" fillId="6" borderId="49" xfId="1" applyFont="1" applyBorder="1" applyAlignment="1">
      <alignment horizontal="center" vertical="center" shrinkToFit="1"/>
    </xf>
    <xf numFmtId="0" fontId="46" fillId="3" borderId="80" xfId="0" applyFont="1" applyFill="1" applyBorder="1" applyAlignment="1">
      <alignment horizontal="center" vertical="center" shrinkToFit="1"/>
    </xf>
    <xf numFmtId="180" fontId="36" fillId="9" borderId="71" xfId="3" applyNumberFormat="1" applyFont="1" applyBorder="1" applyAlignment="1">
      <alignment horizontal="center" vertical="center" shrinkToFit="1"/>
    </xf>
    <xf numFmtId="180" fontId="36" fillId="9" borderId="81" xfId="3" applyNumberFormat="1" applyFont="1" applyBorder="1" applyAlignment="1">
      <alignment horizontal="center" vertical="center" shrinkToFit="1"/>
    </xf>
    <xf numFmtId="180" fontId="36" fillId="9" borderId="82" xfId="3" applyNumberFormat="1" applyFont="1" applyBorder="1" applyAlignment="1">
      <alignment horizontal="center" vertical="center" shrinkToFit="1"/>
    </xf>
    <xf numFmtId="0" fontId="36" fillId="9" borderId="81" xfId="3" applyFont="1" applyBorder="1" applyAlignment="1">
      <alignment horizontal="center" vertical="center" shrinkToFit="1"/>
    </xf>
    <xf numFmtId="178" fontId="36" fillId="3" borderId="70" xfId="0" applyNumberFormat="1" applyFont="1" applyFill="1" applyBorder="1" applyAlignment="1">
      <alignment horizontal="center" vertical="center" shrinkToFit="1"/>
    </xf>
    <xf numFmtId="0" fontId="49" fillId="9" borderId="71" xfId="3" applyNumberFormat="1" applyFont="1" applyBorder="1">
      <alignment horizontal="center" vertical="center" shrinkToFit="1"/>
    </xf>
    <xf numFmtId="0" fontId="36" fillId="9" borderId="81" xfId="3" applyFont="1" applyBorder="1">
      <alignment horizontal="center" vertical="center" shrinkToFit="1"/>
    </xf>
    <xf numFmtId="0" fontId="36" fillId="9" borderId="83" xfId="3" applyFont="1" applyBorder="1">
      <alignment horizontal="center" vertical="center" shrinkToFit="1"/>
    </xf>
    <xf numFmtId="0" fontId="46" fillId="3" borderId="69" xfId="0" applyFont="1" applyFill="1" applyBorder="1" applyAlignment="1">
      <alignment horizontal="center" vertical="center" shrinkToFit="1"/>
    </xf>
    <xf numFmtId="0" fontId="36" fillId="9" borderId="71" xfId="3" applyFont="1" applyBorder="1" applyAlignment="1">
      <alignment horizontal="center" vertical="center" shrinkToFit="1"/>
    </xf>
    <xf numFmtId="0" fontId="36" fillId="3" borderId="70" xfId="0" applyFont="1" applyFill="1" applyBorder="1" applyAlignment="1">
      <alignment horizontal="center" vertical="center" shrinkToFit="1"/>
    </xf>
    <xf numFmtId="0" fontId="46" fillId="3" borderId="84" xfId="0" applyFont="1" applyFill="1" applyBorder="1" applyAlignment="1">
      <alignment horizontal="center" vertical="center" shrinkToFit="1"/>
    </xf>
    <xf numFmtId="0" fontId="36" fillId="2" borderId="41" xfId="2" applyFont="1" applyBorder="1">
      <alignment horizontal="center" vertical="center" shrinkToFit="1"/>
    </xf>
    <xf numFmtId="0" fontId="49" fillId="9" borderId="1" xfId="3" applyNumberFormat="1" applyFont="1" applyBorder="1">
      <alignment horizontal="center" vertical="center" shrinkToFit="1"/>
    </xf>
    <xf numFmtId="0" fontId="36" fillId="9" borderId="1" xfId="3" applyFont="1" applyBorder="1">
      <alignment horizontal="center" vertical="center" shrinkToFit="1"/>
    </xf>
    <xf numFmtId="0" fontId="36" fillId="9" borderId="22" xfId="3" applyFont="1" applyBorder="1">
      <alignment horizontal="center" vertical="center" shrinkToFit="1"/>
    </xf>
    <xf numFmtId="0" fontId="46" fillId="3" borderId="85" xfId="0" applyFont="1" applyFill="1" applyBorder="1" applyAlignment="1">
      <alignment horizontal="center" vertical="center" shrinkToFit="1"/>
    </xf>
    <xf numFmtId="180" fontId="36" fillId="9" borderId="74" xfId="3" applyNumberFormat="1" applyFont="1" applyBorder="1" applyAlignment="1">
      <alignment horizontal="center" vertical="center" shrinkToFit="1"/>
    </xf>
    <xf numFmtId="180" fontId="36" fillId="9" borderId="78" xfId="3" applyNumberFormat="1" applyFont="1" applyBorder="1" applyAlignment="1">
      <alignment horizontal="center" vertical="center" shrinkToFit="1"/>
    </xf>
    <xf numFmtId="180" fontId="36" fillId="9" borderId="79" xfId="3" applyNumberFormat="1" applyFont="1" applyBorder="1" applyAlignment="1">
      <alignment horizontal="center" vertical="center" shrinkToFit="1"/>
    </xf>
    <xf numFmtId="0" fontId="36" fillId="9" borderId="78" xfId="3" applyFont="1" applyBorder="1" applyAlignment="1">
      <alignment horizontal="center" vertical="center" shrinkToFit="1"/>
    </xf>
    <xf numFmtId="178" fontId="36" fillId="3" borderId="73" xfId="0" applyNumberFormat="1" applyFont="1" applyFill="1" applyBorder="1" applyAlignment="1">
      <alignment horizontal="center" vertical="center" shrinkToFit="1"/>
    </xf>
    <xf numFmtId="0" fontId="49" fillId="9" borderId="74" xfId="3" applyNumberFormat="1" applyFont="1" applyBorder="1">
      <alignment horizontal="center" vertical="center" shrinkToFit="1"/>
    </xf>
    <xf numFmtId="0" fontId="36" fillId="9" borderId="78" xfId="3" applyFont="1" applyBorder="1">
      <alignment horizontal="center" vertical="center" shrinkToFit="1"/>
    </xf>
    <xf numFmtId="0" fontId="36" fillId="9" borderId="86" xfId="3" applyFont="1" applyBorder="1">
      <alignment horizontal="center" vertical="center" shrinkToFit="1"/>
    </xf>
    <xf numFmtId="0" fontId="46" fillId="3" borderId="72" xfId="0" applyFont="1" applyFill="1" applyBorder="1" applyAlignment="1">
      <alignment horizontal="center" vertical="center" shrinkToFit="1"/>
    </xf>
    <xf numFmtId="0" fontId="36" fillId="9" borderId="74" xfId="3" applyFont="1" applyBorder="1" applyAlignment="1">
      <alignment horizontal="center" vertical="center" shrinkToFit="1"/>
    </xf>
    <xf numFmtId="0" fontId="36" fillId="3" borderId="73" xfId="0" applyFont="1" applyFill="1" applyBorder="1" applyAlignment="1">
      <alignment horizontal="center" vertical="center" shrinkToFit="1"/>
    </xf>
    <xf numFmtId="0" fontId="46" fillId="3" borderId="77" xfId="0" applyFont="1" applyFill="1" applyBorder="1" applyAlignment="1">
      <alignment horizontal="center" vertical="center" shrinkToFit="1"/>
    </xf>
    <xf numFmtId="0" fontId="36" fillId="2" borderId="94" xfId="2" applyFont="1" applyBorder="1" applyAlignment="1">
      <alignment horizontal="center" vertical="center" textRotation="255" shrinkToFit="1"/>
    </xf>
    <xf numFmtId="0" fontId="36" fillId="3" borderId="22" xfId="0" applyFont="1" applyFill="1" applyBorder="1" applyAlignment="1">
      <alignment horizontal="center" vertical="center" shrinkToFit="1"/>
    </xf>
    <xf numFmtId="0" fontId="36" fillId="2" borderId="95" xfId="2" applyFont="1" applyBorder="1" applyAlignment="1">
      <alignment horizontal="center" vertical="center" textRotation="255" shrinkToFit="1"/>
    </xf>
    <xf numFmtId="0" fontId="36" fillId="9" borderId="22" xfId="3" applyFont="1" applyBorder="1" applyAlignment="1">
      <alignment horizontal="center" vertical="center" shrinkToFit="1"/>
    </xf>
    <xf numFmtId="0" fontId="36" fillId="9" borderId="22" xfId="3" applyFont="1" applyBorder="1">
      <alignment horizontal="center" vertical="center" shrinkToFit="1"/>
    </xf>
    <xf numFmtId="180" fontId="40" fillId="9" borderId="28" xfId="3" applyNumberFormat="1" applyFont="1" applyBorder="1" applyAlignment="1">
      <alignment horizontal="center" vertical="center" wrapText="1" shrinkToFit="1"/>
    </xf>
    <xf numFmtId="180" fontId="40" fillId="9" borderId="4" xfId="3" applyNumberFormat="1" applyFont="1" applyBorder="1" applyAlignment="1">
      <alignment horizontal="center" vertical="center" wrapText="1" shrinkToFit="1"/>
    </xf>
    <xf numFmtId="180" fontId="40" fillId="9" borderId="42" xfId="3" applyNumberFormat="1" applyFont="1" applyBorder="1" applyAlignment="1">
      <alignment horizontal="center" vertical="center" wrapText="1" shrinkToFit="1"/>
    </xf>
    <xf numFmtId="0" fontId="36" fillId="2" borderId="96" xfId="2" applyFont="1" applyBorder="1" applyAlignment="1">
      <alignment horizontal="center" vertical="center" textRotation="255" shrinkToFit="1"/>
    </xf>
    <xf numFmtId="180" fontId="40" fillId="9" borderId="18" xfId="3" applyNumberFormat="1" applyFont="1" applyBorder="1" applyAlignment="1">
      <alignment horizontal="center" vertical="center" wrapText="1" shrinkToFit="1"/>
    </xf>
    <xf numFmtId="180" fontId="40" fillId="9" borderId="29" xfId="3" applyNumberFormat="1" applyFont="1" applyBorder="1" applyAlignment="1">
      <alignment horizontal="center" vertical="center" wrapText="1" shrinkToFit="1"/>
    </xf>
    <xf numFmtId="180" fontId="40" fillId="9" borderId="36" xfId="3" applyNumberFormat="1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/>
    </xf>
    <xf numFmtId="180" fontId="36" fillId="9" borderId="20" xfId="3" applyNumberFormat="1" applyFont="1" applyBorder="1" applyAlignment="1">
      <alignment horizontal="center" vertical="center" shrinkToFit="1"/>
    </xf>
    <xf numFmtId="180" fontId="36" fillId="9" borderId="3" xfId="3" applyNumberFormat="1" applyFont="1" applyBorder="1" applyAlignment="1">
      <alignment horizontal="center" vertical="center" shrinkToFit="1"/>
    </xf>
    <xf numFmtId="180" fontId="36" fillId="9" borderId="39" xfId="3" applyNumberFormat="1" applyFont="1" applyBorder="1" applyAlignment="1">
      <alignment horizontal="center" vertical="center" shrinkToFit="1"/>
    </xf>
    <xf numFmtId="0" fontId="46" fillId="2" borderId="85" xfId="2" applyFont="1" applyBorder="1" applyAlignment="1">
      <alignment horizontal="center" vertical="center" shrinkToFit="1"/>
    </xf>
    <xf numFmtId="0" fontId="46" fillId="3" borderId="72" xfId="0" applyNumberFormat="1" applyFont="1" applyFill="1" applyBorder="1" applyAlignment="1">
      <alignment horizontal="center" vertical="center" shrinkToFit="1"/>
    </xf>
    <xf numFmtId="0" fontId="36" fillId="2" borderId="11" xfId="2" applyFont="1" applyBorder="1" applyAlignment="1">
      <alignment horizontal="center" vertical="center" textRotation="255" shrinkToFit="1"/>
    </xf>
    <xf numFmtId="0" fontId="36" fillId="3" borderId="28" xfId="0" applyFont="1" applyFill="1" applyBorder="1" applyAlignment="1">
      <alignment horizontal="center" vertical="center" shrinkToFit="1"/>
    </xf>
    <xf numFmtId="0" fontId="36" fillId="3" borderId="4" xfId="0" applyFont="1" applyFill="1" applyBorder="1" applyAlignment="1">
      <alignment horizontal="center" vertical="center" shrinkToFit="1"/>
    </xf>
    <xf numFmtId="0" fontId="36" fillId="3" borderId="42" xfId="0" applyFont="1" applyFill="1" applyBorder="1" applyAlignment="1">
      <alignment horizontal="center" vertical="center" shrinkToFit="1"/>
    </xf>
    <xf numFmtId="0" fontId="36" fillId="2" borderId="12" xfId="2" applyFont="1" applyBorder="1" applyAlignment="1">
      <alignment horizontal="center" vertical="center" textRotation="255" shrinkToFit="1"/>
    </xf>
    <xf numFmtId="180" fontId="36" fillId="9" borderId="28" xfId="3" applyNumberFormat="1" applyFont="1" applyBorder="1" applyAlignment="1">
      <alignment horizontal="center" vertical="center" wrapText="1" shrinkToFit="1"/>
    </xf>
    <xf numFmtId="180" fontId="36" fillId="9" borderId="4" xfId="3" applyNumberFormat="1" applyFont="1" applyBorder="1" applyAlignment="1">
      <alignment horizontal="center" vertical="center" wrapText="1" shrinkToFit="1"/>
    </xf>
    <xf numFmtId="180" fontId="36" fillId="9" borderId="42" xfId="3" applyNumberFormat="1" applyFont="1" applyBorder="1" applyAlignment="1">
      <alignment horizontal="center" vertical="center" wrapText="1" shrinkToFit="1"/>
    </xf>
    <xf numFmtId="180" fontId="36" fillId="9" borderId="2" xfId="3" applyNumberFormat="1" applyFont="1" applyBorder="1" applyAlignment="1">
      <alignment horizontal="center" vertical="center" wrapText="1" shrinkToFit="1"/>
    </xf>
    <xf numFmtId="180" fontId="36" fillId="9" borderId="0" xfId="3" applyNumberFormat="1" applyFont="1" applyBorder="1" applyAlignment="1">
      <alignment horizontal="center" vertical="center" wrapText="1" shrinkToFit="1"/>
    </xf>
    <xf numFmtId="180" fontId="36" fillId="9" borderId="27" xfId="3" applyNumberFormat="1" applyFont="1" applyBorder="1" applyAlignment="1">
      <alignment horizontal="center" vertical="center" wrapText="1" shrinkToFit="1"/>
    </xf>
    <xf numFmtId="0" fontId="36" fillId="2" borderId="30" xfId="2" applyFont="1" applyBorder="1" applyAlignment="1">
      <alignment horizontal="center" vertical="center" textRotation="255" shrinkToFit="1"/>
    </xf>
    <xf numFmtId="180" fontId="36" fillId="9" borderId="18" xfId="3" applyNumberFormat="1" applyFont="1" applyBorder="1" applyAlignment="1">
      <alignment horizontal="center" vertical="center" wrapText="1" shrinkToFit="1"/>
    </xf>
    <xf numFmtId="180" fontId="36" fillId="9" borderId="29" xfId="3" applyNumberFormat="1" applyFont="1" applyBorder="1" applyAlignment="1">
      <alignment horizontal="center" vertical="center" wrapText="1" shrinkToFit="1"/>
    </xf>
    <xf numFmtId="180" fontId="36" fillId="9" borderId="36" xfId="3" applyNumberFormat="1" applyFont="1" applyBorder="1" applyAlignment="1">
      <alignment horizontal="center" vertical="center" wrapText="1" shrinkToFit="1"/>
    </xf>
    <xf numFmtId="177" fontId="36" fillId="0" borderId="20" xfId="3" applyNumberFormat="1" applyFont="1" applyFill="1" applyBorder="1" applyAlignment="1">
      <alignment horizontal="right" vertical="center" shrinkToFit="1"/>
    </xf>
    <xf numFmtId="177" fontId="36" fillId="0" borderId="3" xfId="3" applyNumberFormat="1" applyFont="1" applyFill="1" applyBorder="1" applyAlignment="1">
      <alignment horizontal="right" vertical="center" shrinkToFit="1"/>
    </xf>
    <xf numFmtId="177" fontId="36" fillId="0" borderId="39" xfId="3" applyNumberFormat="1" applyFont="1" applyFill="1" applyBorder="1" applyAlignment="1">
      <alignment horizontal="right" vertical="center" shrinkToFit="1"/>
    </xf>
    <xf numFmtId="177" fontId="36" fillId="0" borderId="20" xfId="0" applyNumberFormat="1" applyFont="1" applyFill="1" applyBorder="1" applyAlignment="1">
      <alignment vertical="center" shrinkToFit="1"/>
    </xf>
    <xf numFmtId="177" fontId="36" fillId="0" borderId="3" xfId="0" applyNumberFormat="1" applyFont="1" applyFill="1" applyBorder="1" applyAlignment="1">
      <alignment vertical="center" shrinkToFit="1"/>
    </xf>
    <xf numFmtId="177" fontId="36" fillId="0" borderId="39" xfId="0" applyNumberFormat="1" applyFont="1" applyFill="1" applyBorder="1" applyAlignment="1">
      <alignment vertical="center" shrinkToFit="1"/>
    </xf>
    <xf numFmtId="0" fontId="36" fillId="2" borderId="41" xfId="2" applyFont="1" applyBorder="1" applyAlignment="1">
      <alignment horizontal="center" vertical="center" shrinkToFit="1"/>
    </xf>
    <xf numFmtId="0" fontId="36" fillId="2" borderId="3" xfId="2" applyFont="1" applyBorder="1" applyAlignment="1">
      <alignment horizontal="center" vertical="center" shrinkToFit="1"/>
    </xf>
    <xf numFmtId="0" fontId="36" fillId="2" borderId="21" xfId="2" applyFont="1" applyBorder="1" applyAlignment="1">
      <alignment horizontal="center" vertical="center" shrinkToFit="1"/>
    </xf>
    <xf numFmtId="0" fontId="36" fillId="9" borderId="20" xfId="3" applyNumberFormat="1" applyFont="1" applyBorder="1" applyAlignment="1">
      <alignment horizontal="right" vertical="center" shrinkToFit="1"/>
    </xf>
    <xf numFmtId="0" fontId="36" fillId="9" borderId="3" xfId="3" applyNumberFormat="1" applyFont="1" applyBorder="1" applyAlignment="1">
      <alignment horizontal="right" vertical="center" shrinkToFit="1"/>
    </xf>
    <xf numFmtId="177" fontId="36" fillId="0" borderId="20" xfId="3" applyNumberFormat="1" applyFont="1" applyFill="1" applyBorder="1" applyAlignment="1">
      <alignment horizontal="center" vertical="center" shrinkToFit="1"/>
    </xf>
    <xf numFmtId="177" fontId="36" fillId="0" borderId="39" xfId="3" applyNumberFormat="1" applyFont="1" applyFill="1" applyBorder="1" applyAlignment="1">
      <alignment horizontal="center" vertical="center" shrinkToFit="1"/>
    </xf>
    <xf numFmtId="0" fontId="46" fillId="3" borderId="87" xfId="0" applyFont="1" applyFill="1" applyBorder="1" applyAlignment="1">
      <alignment horizontal="center" vertical="center" shrinkToFit="1"/>
    </xf>
    <xf numFmtId="180" fontId="36" fillId="9" borderId="88" xfId="3" applyNumberFormat="1" applyFont="1" applyBorder="1" applyAlignment="1">
      <alignment horizontal="center" vertical="center" shrinkToFit="1"/>
    </xf>
    <xf numFmtId="180" fontId="36" fillId="9" borderId="89" xfId="3" applyNumberFormat="1" applyFont="1" applyBorder="1" applyAlignment="1">
      <alignment horizontal="center" vertical="center" shrinkToFit="1"/>
    </xf>
    <xf numFmtId="180" fontId="36" fillId="9" borderId="90" xfId="3" applyNumberFormat="1" applyFont="1" applyBorder="1" applyAlignment="1">
      <alignment horizontal="center" vertical="center" shrinkToFit="1"/>
    </xf>
    <xf numFmtId="0" fontId="36" fillId="9" borderId="89" xfId="3" applyFont="1" applyBorder="1" applyAlignment="1">
      <alignment horizontal="center" vertical="center" shrinkToFit="1"/>
    </xf>
    <xf numFmtId="178" fontId="36" fillId="3" borderId="91" xfId="0" applyNumberFormat="1" applyFont="1" applyFill="1" applyBorder="1" applyAlignment="1">
      <alignment horizontal="center" vertical="center" shrinkToFit="1"/>
    </xf>
    <xf numFmtId="0" fontId="49" fillId="9" borderId="88" xfId="3" applyNumberFormat="1" applyFont="1" applyBorder="1">
      <alignment horizontal="center" vertical="center" shrinkToFit="1"/>
    </xf>
    <xf numFmtId="0" fontId="36" fillId="9" borderId="89" xfId="3" applyFont="1" applyBorder="1">
      <alignment horizontal="center" vertical="center" shrinkToFit="1"/>
    </xf>
    <xf numFmtId="0" fontId="36" fillId="9" borderId="92" xfId="3" applyFont="1" applyBorder="1">
      <alignment horizontal="center" vertical="center" shrinkToFit="1"/>
    </xf>
    <xf numFmtId="0" fontId="46" fillId="3" borderId="93" xfId="0" applyFont="1" applyFill="1" applyBorder="1" applyAlignment="1">
      <alignment horizontal="center" vertical="center" shrinkToFit="1"/>
    </xf>
    <xf numFmtId="0" fontId="36" fillId="9" borderId="88" xfId="3" applyFont="1" applyBorder="1" applyAlignment="1">
      <alignment horizontal="center" vertical="center" shrinkToFit="1"/>
    </xf>
    <xf numFmtId="0" fontId="36" fillId="3" borderId="91" xfId="0" applyFont="1" applyFill="1" applyBorder="1" applyAlignment="1">
      <alignment horizontal="center" vertical="center" shrinkToFit="1"/>
    </xf>
    <xf numFmtId="184" fontId="36" fillId="3" borderId="20" xfId="0" applyNumberFormat="1" applyFont="1" applyFill="1" applyBorder="1" applyAlignment="1">
      <alignment horizontal="center" vertical="center" shrinkToFit="1"/>
    </xf>
    <xf numFmtId="184" fontId="36" fillId="3" borderId="21" xfId="0" applyNumberFormat="1" applyFont="1" applyFill="1" applyBorder="1" applyAlignment="1">
      <alignment horizontal="center" vertical="center" shrinkToFit="1"/>
    </xf>
    <xf numFmtId="182" fontId="36" fillId="3" borderId="1" xfId="0" applyNumberFormat="1" applyFont="1" applyFill="1" applyBorder="1" applyAlignment="1">
      <alignment horizontal="center" vertical="center" shrinkToFit="1"/>
    </xf>
    <xf numFmtId="183" fontId="36" fillId="3" borderId="21" xfId="0" applyNumberFormat="1" applyFont="1" applyFill="1" applyBorder="1" applyAlignment="1">
      <alignment horizontal="center" vertical="center" shrinkToFit="1"/>
    </xf>
    <xf numFmtId="177" fontId="36" fillId="3" borderId="3" xfId="0" applyNumberFormat="1" applyFont="1" applyFill="1" applyBorder="1" applyAlignment="1">
      <alignment vertical="center" shrinkToFit="1"/>
    </xf>
    <xf numFmtId="177" fontId="36" fillId="3" borderId="39" xfId="0" applyNumberFormat="1" applyFont="1" applyFill="1" applyBorder="1" applyAlignment="1">
      <alignment vertical="center" shrinkToFit="1"/>
    </xf>
    <xf numFmtId="0" fontId="36" fillId="3" borderId="26" xfId="0" applyFont="1" applyFill="1" applyBorder="1" applyAlignment="1">
      <alignment horizontal="center" vertical="center" shrinkToFit="1"/>
    </xf>
    <xf numFmtId="0" fontId="39" fillId="3" borderId="0" xfId="0" applyFont="1" applyFill="1" applyBorder="1" applyAlignment="1">
      <alignment vertical="center" shrinkToFit="1"/>
    </xf>
    <xf numFmtId="0" fontId="36" fillId="3" borderId="0" xfId="0" applyFont="1" applyFill="1" applyBorder="1" applyAlignment="1">
      <alignment vertical="center" shrinkToFit="1"/>
    </xf>
    <xf numFmtId="0" fontId="36" fillId="3" borderId="56" xfId="0" applyFont="1" applyFill="1" applyBorder="1" applyAlignment="1">
      <alignment vertical="center" shrinkToFit="1"/>
    </xf>
    <xf numFmtId="0" fontId="48" fillId="6" borderId="45" xfId="1" applyFont="1" applyBorder="1" applyAlignment="1">
      <alignment horizontal="center" vertical="center" shrinkToFit="1"/>
    </xf>
    <xf numFmtId="0" fontId="41" fillId="6" borderId="46" xfId="1" applyFont="1" applyBorder="1" applyAlignment="1">
      <alignment horizontal="right" wrapText="1" shrinkToFit="1"/>
    </xf>
    <xf numFmtId="0" fontId="41" fillId="6" borderId="46" xfId="1" applyFont="1" applyBorder="1" applyAlignment="1">
      <alignment horizontal="right" shrinkToFit="1"/>
    </xf>
    <xf numFmtId="0" fontId="41" fillId="6" borderId="49" xfId="1" applyFont="1" applyBorder="1" applyAlignment="1">
      <alignment horizontal="right" shrinkToFit="1"/>
    </xf>
    <xf numFmtId="0" fontId="36" fillId="3" borderId="0" xfId="0" applyFont="1" applyFill="1" applyAlignment="1">
      <alignment horizontal="right" vertical="center" wrapText="1" shrinkToFit="1"/>
    </xf>
    <xf numFmtId="0" fontId="36" fillId="2" borderId="38" xfId="2" applyFont="1" applyBorder="1" applyAlignment="1">
      <alignment horizontal="center" vertical="center" wrapText="1"/>
    </xf>
    <xf numFmtId="0" fontId="36" fillId="2" borderId="3" xfId="2" applyFont="1" applyBorder="1" applyAlignment="1">
      <alignment horizontal="center" vertical="center" wrapText="1"/>
    </xf>
    <xf numFmtId="0" fontId="36" fillId="2" borderId="21" xfId="2" applyFont="1" applyBorder="1" applyAlignment="1">
      <alignment horizontal="center" vertical="center" wrapText="1"/>
    </xf>
    <xf numFmtId="0" fontId="36" fillId="3" borderId="20" xfId="0" applyFont="1" applyFill="1" applyBorder="1" applyAlignment="1">
      <alignment vertical="center" wrapText="1"/>
    </xf>
    <xf numFmtId="0" fontId="36" fillId="3" borderId="3" xfId="0" applyFont="1" applyFill="1" applyBorder="1" applyAlignment="1">
      <alignment vertical="center" wrapText="1"/>
    </xf>
    <xf numFmtId="0" fontId="36" fillId="3" borderId="22" xfId="0" applyFont="1" applyFill="1" applyBorder="1" applyAlignment="1">
      <alignment vertical="center" wrapText="1"/>
    </xf>
    <xf numFmtId="0" fontId="36" fillId="3" borderId="0" xfId="0" applyFont="1" applyFill="1" applyAlignment="1">
      <alignment vertical="center" wrapText="1" shrinkToFit="1"/>
    </xf>
    <xf numFmtId="0" fontId="36" fillId="2" borderId="68" xfId="2" applyFont="1" applyBorder="1" applyAlignment="1">
      <alignment horizontal="center" vertical="center" wrapText="1"/>
    </xf>
    <xf numFmtId="0" fontId="36" fillId="2" borderId="55" xfId="2" applyFont="1" applyBorder="1" applyAlignment="1">
      <alignment horizontal="center" vertical="center" wrapText="1"/>
    </xf>
    <xf numFmtId="0" fontId="36" fillId="2" borderId="57" xfId="2" applyFont="1" applyBorder="1" applyAlignment="1">
      <alignment horizontal="center" vertical="center" wrapText="1"/>
    </xf>
    <xf numFmtId="0" fontId="36" fillId="3" borderId="54" xfId="0" applyFont="1" applyFill="1" applyBorder="1" applyAlignment="1">
      <alignment vertical="center" wrapText="1"/>
    </xf>
    <xf numFmtId="0" fontId="36" fillId="3" borderId="55" xfId="0" applyFont="1" applyFill="1" applyBorder="1" applyAlignment="1">
      <alignment vertical="center" wrapText="1"/>
    </xf>
    <xf numFmtId="0" fontId="36" fillId="3" borderId="23" xfId="0" applyFont="1" applyFill="1" applyBorder="1" applyAlignment="1">
      <alignment vertical="center" wrapText="1"/>
    </xf>
    <xf numFmtId="0" fontId="50" fillId="2" borderId="45" xfId="2" applyFont="1" applyBorder="1" applyAlignment="1">
      <alignment horizontal="center" vertical="center" shrinkToFit="1"/>
    </xf>
    <xf numFmtId="0" fontId="50" fillId="2" borderId="46" xfId="2" applyFont="1" applyBorder="1" applyAlignment="1">
      <alignment horizontal="center" vertical="center" shrinkToFit="1"/>
    </xf>
    <xf numFmtId="0" fontId="50" fillId="2" borderId="53" xfId="2" applyFont="1" applyBorder="1" applyAlignment="1">
      <alignment horizontal="center" vertical="center" shrinkToFit="1"/>
    </xf>
    <xf numFmtId="0" fontId="50" fillId="2" borderId="60" xfId="2" applyFont="1" applyBorder="1" applyAlignment="1">
      <alignment horizontal="center" vertical="center" shrinkToFit="1"/>
    </xf>
    <xf numFmtId="0" fontId="50" fillId="2" borderId="59" xfId="2" applyFont="1" applyBorder="1" applyAlignment="1">
      <alignment horizontal="center" vertical="center" wrapText="1"/>
    </xf>
    <xf numFmtId="0" fontId="50" fillId="2" borderId="24" xfId="2" applyFont="1" applyBorder="1" applyAlignment="1">
      <alignment horizontal="center" vertical="center" wrapText="1"/>
    </xf>
    <xf numFmtId="0" fontId="50" fillId="2" borderId="25" xfId="2" applyFont="1" applyBorder="1" applyAlignment="1">
      <alignment horizontal="center" vertical="center" wrapText="1"/>
    </xf>
    <xf numFmtId="0" fontId="39" fillId="3" borderId="44" xfId="0" applyFont="1" applyFill="1" applyBorder="1" applyAlignment="1">
      <alignment horizontal="center" vertical="center" shrinkToFit="1"/>
    </xf>
    <xf numFmtId="0" fontId="50" fillId="9" borderId="38" xfId="3" applyFont="1" applyBorder="1" applyAlignment="1">
      <alignment horizontal="center" vertical="center" shrinkToFit="1"/>
    </xf>
    <xf numFmtId="0" fontId="50" fillId="9" borderId="3" xfId="3" applyFont="1" applyBorder="1" applyAlignment="1">
      <alignment horizontal="center" vertical="center" shrinkToFit="1"/>
    </xf>
    <xf numFmtId="0" fontId="50" fillId="9" borderId="21" xfId="3" applyFont="1" applyBorder="1" applyAlignment="1">
      <alignment horizontal="center" vertical="center" shrinkToFit="1"/>
    </xf>
    <xf numFmtId="0" fontId="50" fillId="9" borderId="20" xfId="3" applyFont="1" applyBorder="1" applyAlignment="1">
      <alignment horizontal="center" vertical="center" shrinkToFit="1"/>
    </xf>
    <xf numFmtId="0" fontId="50" fillId="2" borderId="18" xfId="2" applyFont="1" applyBorder="1" applyAlignment="1">
      <alignment horizontal="center" vertical="center" wrapText="1"/>
    </xf>
    <xf numFmtId="0" fontId="50" fillId="2" borderId="29" xfId="2" applyFont="1" applyBorder="1" applyAlignment="1">
      <alignment horizontal="center" vertical="center" wrapText="1"/>
    </xf>
    <xf numFmtId="0" fontId="50" fillId="2" borderId="36" xfId="2" applyFont="1" applyBorder="1" applyAlignment="1">
      <alignment horizontal="center" vertical="center" wrapText="1"/>
    </xf>
    <xf numFmtId="0" fontId="36" fillId="3" borderId="50" xfId="0" applyFont="1" applyFill="1" applyBorder="1" applyAlignment="1">
      <alignment horizontal="center" vertical="center" wrapText="1" shrinkToFit="1"/>
    </xf>
    <xf numFmtId="0" fontId="36" fillId="3" borderId="24" xfId="0" applyFont="1" applyFill="1" applyBorder="1" applyAlignment="1">
      <alignment horizontal="center" vertical="center" wrapText="1" shrinkToFit="1"/>
    </xf>
    <xf numFmtId="0" fontId="36" fillId="3" borderId="25" xfId="0" applyFont="1" applyFill="1" applyBorder="1" applyAlignment="1">
      <alignment horizontal="center" vertical="center" wrapText="1" shrinkToFit="1"/>
    </xf>
    <xf numFmtId="0" fontId="50" fillId="2" borderId="20" xfId="2" applyFont="1" applyBorder="1" applyAlignment="1">
      <alignment horizontal="center" vertical="center" shrinkToFit="1"/>
    </xf>
    <xf numFmtId="0" fontId="50" fillId="2" borderId="3" xfId="2" applyFont="1" applyBorder="1" applyAlignment="1">
      <alignment horizontal="center" vertical="center" shrinkToFit="1"/>
    </xf>
    <xf numFmtId="0" fontId="50" fillId="2" borderId="39" xfId="2" applyFont="1" applyBorder="1" applyAlignment="1">
      <alignment horizontal="center" vertical="center" shrinkToFit="1"/>
    </xf>
    <xf numFmtId="0" fontId="36" fillId="3" borderId="26" xfId="0" applyFont="1" applyFill="1" applyBorder="1" applyAlignment="1">
      <alignment horizontal="center" vertical="center" wrapText="1" shrinkToFit="1"/>
    </xf>
    <xf numFmtId="0" fontId="36" fillId="3" borderId="0" xfId="0" applyFont="1" applyFill="1" applyBorder="1" applyAlignment="1">
      <alignment horizontal="center" vertical="center" wrapText="1" shrinkToFit="1"/>
    </xf>
    <xf numFmtId="0" fontId="36" fillId="3" borderId="27" xfId="0" applyFont="1" applyFill="1" applyBorder="1" applyAlignment="1">
      <alignment horizontal="center" vertical="center" wrapText="1" shrinkToFit="1"/>
    </xf>
    <xf numFmtId="0" fontId="50" fillId="2" borderId="28" xfId="2" applyFont="1" applyBorder="1" applyAlignment="1">
      <alignment horizontal="center" vertical="center" wrapText="1"/>
    </xf>
    <xf numFmtId="0" fontId="50" fillId="2" borderId="4" xfId="2" applyFont="1" applyBorder="1" applyAlignment="1">
      <alignment horizontal="center" vertical="center" wrapText="1"/>
    </xf>
    <xf numFmtId="0" fontId="50" fillId="2" borderId="42" xfId="2" applyFont="1" applyBorder="1" applyAlignment="1">
      <alignment horizontal="center" vertical="center" wrapText="1"/>
    </xf>
    <xf numFmtId="0" fontId="50" fillId="2" borderId="2" xfId="2" applyFont="1" applyBorder="1" applyAlignment="1">
      <alignment horizontal="center" vertical="center" wrapText="1"/>
    </xf>
    <xf numFmtId="0" fontId="50" fillId="2" borderId="0" xfId="2" applyFont="1" applyBorder="1" applyAlignment="1">
      <alignment horizontal="center" vertical="center" wrapText="1"/>
    </xf>
    <xf numFmtId="0" fontId="50" fillId="2" borderId="27" xfId="2" applyFont="1" applyBorder="1" applyAlignment="1">
      <alignment horizontal="center" vertical="center" wrapText="1"/>
    </xf>
    <xf numFmtId="0" fontId="50" fillId="2" borderId="35" xfId="2" applyFont="1" applyBorder="1" applyAlignment="1">
      <alignment horizontal="center" vertical="center" wrapText="1"/>
    </xf>
    <xf numFmtId="0" fontId="50" fillId="2" borderId="6" xfId="2" applyFont="1" applyBorder="1" applyAlignment="1">
      <alignment horizontal="center" vertical="center" wrapText="1"/>
    </xf>
    <xf numFmtId="0" fontId="50" fillId="2" borderId="26" xfId="2" applyFont="1" applyBorder="1" applyAlignment="1">
      <alignment horizontal="center" vertical="center" wrapText="1"/>
    </xf>
    <xf numFmtId="0" fontId="50" fillId="2" borderId="7" xfId="2" applyFont="1" applyBorder="1" applyAlignment="1">
      <alignment horizontal="center" vertical="center" wrapText="1"/>
    </xf>
    <xf numFmtId="0" fontId="50" fillId="2" borderId="51" xfId="2" applyFont="1" applyBorder="1" applyAlignment="1">
      <alignment horizontal="center" vertical="center" wrapText="1"/>
    </xf>
    <xf numFmtId="0" fontId="50" fillId="2" borderId="44" xfId="2" applyFont="1" applyBorder="1" applyAlignment="1">
      <alignment horizontal="center" vertical="center" wrapText="1"/>
    </xf>
    <xf numFmtId="0" fontId="50" fillId="2" borderId="58" xfId="2" applyFont="1" applyBorder="1" applyAlignment="1">
      <alignment horizontal="center" vertical="center" wrapText="1"/>
    </xf>
    <xf numFmtId="0" fontId="50" fillId="2" borderId="43" xfId="2" applyFont="1" applyBorder="1" applyAlignment="1">
      <alignment horizontal="center" vertical="center" wrapText="1"/>
    </xf>
    <xf numFmtId="0" fontId="50" fillId="2" borderId="52" xfId="2" applyFont="1" applyBorder="1" applyAlignment="1">
      <alignment horizontal="center" vertical="center" wrapText="1"/>
    </xf>
    <xf numFmtId="0" fontId="36" fillId="3" borderId="51" xfId="0" applyFont="1" applyFill="1" applyBorder="1" applyAlignment="1">
      <alignment horizontal="center" vertical="center" wrapText="1" shrinkToFit="1"/>
    </xf>
    <xf numFmtId="0" fontId="36" fillId="3" borderId="44" xfId="0" applyFont="1" applyFill="1" applyBorder="1" applyAlignment="1">
      <alignment horizontal="center" vertical="center" wrapText="1" shrinkToFit="1"/>
    </xf>
    <xf numFmtId="0" fontId="36" fillId="3" borderId="52" xfId="0" applyFont="1" applyFill="1" applyBorder="1" applyAlignment="1">
      <alignment horizontal="center" vertical="center" wrapText="1" shrinkToFit="1"/>
    </xf>
    <xf numFmtId="0" fontId="51" fillId="6" borderId="45" xfId="1" applyFont="1" applyBorder="1" applyAlignment="1">
      <alignment horizontal="center" vertical="center" shrinkToFit="1"/>
    </xf>
    <xf numFmtId="0" fontId="51" fillId="6" borderId="46" xfId="1" applyFont="1" applyBorder="1" applyAlignment="1">
      <alignment horizontal="center" vertical="center" shrinkToFit="1"/>
    </xf>
    <xf numFmtId="0" fontId="51" fillId="6" borderId="49" xfId="1" applyFont="1" applyBorder="1" applyAlignment="1">
      <alignment horizontal="center" vertical="center" shrinkToFit="1"/>
    </xf>
    <xf numFmtId="0" fontId="37" fillId="6" borderId="45" xfId="1" applyFont="1" applyBorder="1" applyAlignment="1">
      <alignment horizontal="center" vertical="center" shrinkToFit="1"/>
    </xf>
    <xf numFmtId="0" fontId="37" fillId="6" borderId="47" xfId="1" applyFont="1" applyBorder="1" applyAlignment="1">
      <alignment horizontal="center" vertical="center" shrinkToFit="1"/>
    </xf>
    <xf numFmtId="0" fontId="38" fillId="2" borderId="32" xfId="2" applyFont="1" applyBorder="1" applyAlignment="1">
      <alignment horizontal="center" vertical="center" shrinkToFit="1"/>
    </xf>
    <xf numFmtId="0" fontId="38" fillId="2" borderId="25" xfId="2" applyFont="1" applyBorder="1" applyAlignment="1">
      <alignment horizontal="center" vertical="center" shrinkToFit="1"/>
    </xf>
    <xf numFmtId="0" fontId="36" fillId="2" borderId="33" xfId="2" applyFont="1" applyBorder="1" applyAlignment="1">
      <alignment horizontal="center" vertical="center" shrinkToFit="1"/>
    </xf>
    <xf numFmtId="0" fontId="36" fillId="2" borderId="1" xfId="2" applyFont="1" applyBorder="1" applyAlignment="1">
      <alignment horizontal="center" vertical="center" shrinkToFit="1"/>
    </xf>
    <xf numFmtId="0" fontId="36" fillId="2" borderId="14" xfId="2" applyFont="1" applyBorder="1" applyAlignment="1">
      <alignment horizontal="center" vertical="center" shrinkToFit="1"/>
    </xf>
    <xf numFmtId="0" fontId="36" fillId="2" borderId="20" xfId="2" applyFont="1" applyBorder="1" applyAlignment="1">
      <alignment horizontal="center" vertical="center" shrinkToFit="1"/>
    </xf>
    <xf numFmtId="0" fontId="39" fillId="2" borderId="14" xfId="2" applyFont="1" applyBorder="1" applyAlignment="1">
      <alignment horizontal="center" vertical="center" shrinkToFit="1"/>
    </xf>
    <xf numFmtId="0" fontId="39" fillId="2" borderId="1" xfId="2" applyFont="1" applyBorder="1" applyAlignment="1">
      <alignment horizontal="center" vertical="center" shrinkToFit="1"/>
    </xf>
    <xf numFmtId="0" fontId="39" fillId="10" borderId="1" xfId="0" applyFont="1" applyFill="1" applyBorder="1" applyAlignment="1">
      <alignment horizontal="center" vertical="center" shrinkToFit="1"/>
    </xf>
    <xf numFmtId="0" fontId="38" fillId="2" borderId="12" xfId="2" applyFont="1" applyBorder="1" applyAlignment="1">
      <alignment horizontal="center" vertical="center" shrinkToFit="1"/>
    </xf>
    <xf numFmtId="0" fontId="38" fillId="2" borderId="27" xfId="2" applyFont="1" applyBorder="1" applyAlignment="1">
      <alignment horizontal="center" vertical="center" shrinkToFit="1"/>
    </xf>
    <xf numFmtId="0" fontId="36" fillId="2" borderId="14" xfId="2" applyFont="1" applyBorder="1" applyAlignment="1">
      <alignment horizontal="center" vertical="center" shrinkToFit="1"/>
    </xf>
    <xf numFmtId="0" fontId="36" fillId="3" borderId="1" xfId="0" applyFont="1" applyFill="1" applyBorder="1" applyAlignment="1">
      <alignment horizontal="center" vertical="center" shrinkToFit="1"/>
    </xf>
    <xf numFmtId="0" fontId="36" fillId="2" borderId="1" xfId="2" applyFont="1" applyBorder="1" applyAlignment="1">
      <alignment horizontal="center" vertical="center" shrinkToFit="1"/>
    </xf>
    <xf numFmtId="0" fontId="36" fillId="3" borderId="20" xfId="0" applyFont="1" applyFill="1" applyBorder="1" applyAlignment="1">
      <alignment horizontal="center" vertical="center" shrinkToFit="1"/>
    </xf>
    <xf numFmtId="178" fontId="36" fillId="3" borderId="1" xfId="0" applyNumberFormat="1" applyFont="1" applyFill="1" applyBorder="1" applyAlignment="1">
      <alignment horizontal="center" vertical="center" shrinkToFit="1"/>
    </xf>
    <xf numFmtId="0" fontId="36" fillId="9" borderId="1" xfId="3" applyFont="1" applyBorder="1" applyAlignment="1">
      <alignment horizontal="center" vertical="center" shrinkToFit="1"/>
    </xf>
    <xf numFmtId="0" fontId="39" fillId="2" borderId="28" xfId="2" applyFont="1" applyBorder="1" applyAlignment="1">
      <alignment horizontal="center" vertical="center" shrinkToFit="1"/>
    </xf>
    <xf numFmtId="0" fontId="39" fillId="2" borderId="4" xfId="2" applyFont="1" applyBorder="1" applyAlignment="1">
      <alignment horizontal="center" vertical="center" shrinkToFit="1"/>
    </xf>
    <xf numFmtId="0" fontId="39" fillId="2" borderId="6" xfId="2" applyFont="1" applyBorder="1" applyAlignment="1">
      <alignment horizontal="center" vertical="center" shrinkToFit="1"/>
    </xf>
    <xf numFmtId="0" fontId="36" fillId="2" borderId="39" xfId="2" applyFont="1" applyBorder="1" applyAlignment="1">
      <alignment horizontal="center" vertical="center" shrinkToFit="1"/>
    </xf>
    <xf numFmtId="0" fontId="36" fillId="3" borderId="20" xfId="0" applyFont="1" applyFill="1" applyBorder="1" applyAlignment="1">
      <alignment horizontal="center" vertical="center" shrinkToFit="1"/>
    </xf>
    <xf numFmtId="0" fontId="36" fillId="3" borderId="3" xfId="0" applyFont="1" applyFill="1" applyBorder="1" applyAlignment="1">
      <alignment horizontal="center" vertical="center" shrinkToFit="1"/>
    </xf>
    <xf numFmtId="0" fontId="36" fillId="3" borderId="10" xfId="0" applyFont="1" applyFill="1" applyBorder="1" applyAlignment="1">
      <alignment horizontal="center" vertical="center" shrinkToFit="1"/>
    </xf>
    <xf numFmtId="0" fontId="36" fillId="9" borderId="14" xfId="3" applyFont="1" applyBorder="1" applyAlignment="1">
      <alignment horizontal="center" vertical="center" shrinkToFit="1"/>
    </xf>
    <xf numFmtId="0" fontId="39" fillId="2" borderId="18" xfId="2" applyFont="1" applyBorder="1" applyAlignment="1">
      <alignment horizontal="center" vertical="center" shrinkToFit="1"/>
    </xf>
    <xf numFmtId="0" fontId="39" fillId="2" borderId="29" xfId="2" applyFont="1" applyBorder="1" applyAlignment="1">
      <alignment horizontal="center" vertical="center" shrinkToFit="1"/>
    </xf>
    <xf numFmtId="0" fontId="39" fillId="2" borderId="19" xfId="2" applyFont="1" applyBorder="1" applyAlignment="1">
      <alignment horizontal="center" vertical="center" shrinkToFit="1"/>
    </xf>
    <xf numFmtId="0" fontId="36" fillId="9" borderId="41" xfId="3" applyFont="1" applyBorder="1" applyAlignment="1">
      <alignment horizontal="center" vertical="center" shrinkToFit="1"/>
    </xf>
    <xf numFmtId="0" fontId="36" fillId="9" borderId="39" xfId="3" applyFont="1" applyBorder="1" applyAlignment="1">
      <alignment horizontal="center" vertical="center" shrinkToFit="1"/>
    </xf>
    <xf numFmtId="0" fontId="39" fillId="3" borderId="0" xfId="0" applyFont="1" applyFill="1" applyAlignment="1">
      <alignment vertical="center"/>
    </xf>
    <xf numFmtId="0" fontId="36" fillId="3" borderId="0" xfId="0" applyFont="1" applyFill="1" applyAlignment="1">
      <alignment vertical="center" shrinkToFit="1"/>
    </xf>
    <xf numFmtId="0" fontId="36" fillId="2" borderId="2" xfId="2" applyFont="1" applyBorder="1" applyAlignment="1">
      <alignment horizontal="center" vertical="center" wrapText="1" shrinkToFit="1"/>
    </xf>
    <xf numFmtId="0" fontId="36" fillId="2" borderId="0" xfId="2" applyFont="1" applyBorder="1" applyAlignment="1">
      <alignment horizontal="center" vertical="center" wrapText="1" shrinkToFit="1"/>
    </xf>
    <xf numFmtId="0" fontId="36" fillId="2" borderId="7" xfId="2" applyFont="1" applyBorder="1" applyAlignment="1">
      <alignment horizontal="center" vertical="center" wrapText="1" shrinkToFit="1"/>
    </xf>
    <xf numFmtId="0" fontId="39" fillId="9" borderId="1" xfId="3" applyFont="1" applyBorder="1" applyAlignment="1">
      <alignment horizontal="center" vertical="center" shrinkToFit="1"/>
    </xf>
    <xf numFmtId="0" fontId="36" fillId="2" borderId="35" xfId="2" applyFont="1" applyBorder="1" applyAlignment="1">
      <alignment horizontal="center" vertical="center" wrapText="1" shrinkToFit="1"/>
    </xf>
    <xf numFmtId="0" fontId="36" fillId="2" borderId="6" xfId="2" applyFont="1" applyBorder="1" applyAlignment="1">
      <alignment horizontal="center" vertical="center" wrapText="1" shrinkToFit="1"/>
    </xf>
    <xf numFmtId="0" fontId="50" fillId="9" borderId="28" xfId="3" applyFont="1" applyBorder="1" applyAlignment="1">
      <alignment horizontal="center" vertical="center" wrapText="1" shrinkToFit="1"/>
    </xf>
    <xf numFmtId="0" fontId="50" fillId="9" borderId="4" xfId="3" applyFont="1" applyBorder="1" applyAlignment="1">
      <alignment horizontal="center" vertical="center" wrapText="1" shrinkToFit="1"/>
    </xf>
    <xf numFmtId="0" fontId="50" fillId="9" borderId="40" xfId="3" applyFont="1" applyBorder="1" applyAlignment="1">
      <alignment horizontal="center" vertical="center" wrapText="1" shrinkToFit="1"/>
    </xf>
    <xf numFmtId="0" fontId="36" fillId="2" borderId="15" xfId="2" applyFont="1" applyBorder="1" applyAlignment="1">
      <alignment horizontal="center" vertical="center" shrinkToFit="1"/>
    </xf>
    <xf numFmtId="0" fontId="36" fillId="2" borderId="5" xfId="2" applyFont="1" applyBorder="1" applyAlignment="1">
      <alignment horizontal="center" vertical="center" shrinkToFit="1"/>
    </xf>
    <xf numFmtId="0" fontId="36" fillId="3" borderId="17" xfId="0" applyFont="1" applyFill="1" applyBorder="1" applyAlignment="1">
      <alignment horizontal="center" vertical="center" shrinkToFit="1"/>
    </xf>
    <xf numFmtId="0" fontId="39" fillId="2" borderId="15" xfId="2" applyFont="1" applyBorder="1" applyAlignment="1">
      <alignment horizontal="center" vertical="center" shrinkToFit="1"/>
    </xf>
    <xf numFmtId="0" fontId="39" fillId="2" borderId="5" xfId="2" applyFont="1" applyBorder="1" applyAlignment="1">
      <alignment horizontal="center" vertical="center" shrinkToFit="1"/>
    </xf>
    <xf numFmtId="178" fontId="36" fillId="3" borderId="5" xfId="0" applyNumberFormat="1" applyFont="1" applyFill="1" applyBorder="1" applyAlignment="1">
      <alignment horizontal="center" vertical="center" shrinkToFit="1"/>
    </xf>
    <xf numFmtId="0" fontId="36" fillId="2" borderId="110" xfId="2" applyFont="1" applyBorder="1" applyAlignment="1">
      <alignment horizontal="center" vertical="center" wrapText="1" shrinkToFit="1"/>
    </xf>
    <xf numFmtId="0" fontId="36" fillId="2" borderId="106" xfId="2" applyFont="1" applyBorder="1" applyAlignment="1">
      <alignment horizontal="center" vertical="center" wrapText="1" shrinkToFit="1"/>
    </xf>
    <xf numFmtId="0" fontId="36" fillId="2" borderId="111" xfId="2" applyFont="1" applyBorder="1" applyAlignment="1">
      <alignment horizontal="center" vertical="center" wrapText="1" shrinkToFit="1"/>
    </xf>
    <xf numFmtId="178" fontId="36" fillId="9" borderId="5" xfId="3" applyNumberFormat="1" applyFont="1" applyBorder="1" applyAlignment="1">
      <alignment horizontal="center" vertical="center" shrinkToFit="1"/>
    </xf>
    <xf numFmtId="0" fontId="36" fillId="3" borderId="0" xfId="0" applyFont="1" applyFill="1" applyAlignment="1">
      <alignment vertical="center"/>
    </xf>
    <xf numFmtId="0" fontId="36" fillId="2" borderId="26" xfId="2" applyFont="1" applyBorder="1" applyAlignment="1">
      <alignment horizontal="center" vertical="center" wrapText="1" shrinkToFit="1"/>
    </xf>
    <xf numFmtId="0" fontId="50" fillId="9" borderId="2" xfId="3" applyFont="1" applyBorder="1" applyAlignment="1">
      <alignment horizontal="center" vertical="center" wrapText="1" shrinkToFit="1"/>
    </xf>
    <xf numFmtId="0" fontId="50" fillId="9" borderId="0" xfId="3" applyFont="1" applyBorder="1" applyAlignment="1">
      <alignment horizontal="center" vertical="center" wrapText="1" shrinkToFit="1"/>
    </xf>
    <xf numFmtId="0" fontId="50" fillId="9" borderId="16" xfId="3" applyFont="1" applyBorder="1" applyAlignment="1">
      <alignment horizontal="center" vertical="center" wrapText="1" shrinkToFit="1"/>
    </xf>
    <xf numFmtId="0" fontId="36" fillId="2" borderId="65" xfId="2" applyFont="1" applyBorder="1" applyAlignment="1">
      <alignment horizontal="center" vertical="center" wrapText="1" shrinkToFit="1"/>
    </xf>
    <xf numFmtId="0" fontId="36" fillId="2" borderId="65" xfId="2" applyFont="1" applyBorder="1" applyAlignment="1">
      <alignment horizontal="center" vertical="center" shrinkToFit="1"/>
    </xf>
    <xf numFmtId="0" fontId="36" fillId="9" borderId="61" xfId="3" applyFont="1" applyBorder="1" applyAlignment="1">
      <alignment horizontal="center" vertical="center" shrinkToFit="1"/>
    </xf>
    <xf numFmtId="0" fontId="36" fillId="2" borderId="34" xfId="2" applyFont="1" applyBorder="1" applyAlignment="1">
      <alignment horizontal="center" vertical="center" wrapText="1" shrinkToFit="1"/>
    </xf>
    <xf numFmtId="0" fontId="36" fillId="2" borderId="19" xfId="2" applyFont="1" applyBorder="1" applyAlignment="1">
      <alignment horizontal="center" vertical="center" wrapText="1" shrinkToFit="1"/>
    </xf>
    <xf numFmtId="0" fontId="50" fillId="9" borderId="18" xfId="3" applyFont="1" applyBorder="1" applyAlignment="1">
      <alignment horizontal="center" vertical="center" wrapText="1" shrinkToFit="1"/>
    </xf>
    <xf numFmtId="0" fontId="50" fillId="9" borderId="29" xfId="3" applyFont="1" applyBorder="1" applyAlignment="1">
      <alignment horizontal="center" vertical="center" wrapText="1" shrinkToFit="1"/>
    </xf>
    <xf numFmtId="0" fontId="50" fillId="9" borderId="37" xfId="3" applyFont="1" applyBorder="1" applyAlignment="1">
      <alignment horizontal="center" vertical="center" wrapText="1" shrinkToFit="1"/>
    </xf>
    <xf numFmtId="0" fontId="36" fillId="9" borderId="20" xfId="3" applyFont="1" applyBorder="1" applyAlignment="1">
      <alignment horizontal="center" vertical="center" shrinkToFit="1"/>
    </xf>
    <xf numFmtId="0" fontId="38" fillId="2" borderId="30" xfId="2" applyFont="1" applyBorder="1" applyAlignment="1">
      <alignment horizontal="center" vertical="center" shrinkToFit="1"/>
    </xf>
    <xf numFmtId="0" fontId="38" fillId="2" borderId="36" xfId="2" applyFont="1" applyBorder="1" applyAlignment="1">
      <alignment horizontal="center" vertical="center" shrinkToFit="1"/>
    </xf>
    <xf numFmtId="0" fontId="52" fillId="3" borderId="0" xfId="0" applyFont="1" applyFill="1" applyBorder="1" applyAlignment="1">
      <alignment horizontal="center" vertical="center" shrinkToFit="1"/>
    </xf>
    <xf numFmtId="0" fontId="44" fillId="3" borderId="27" xfId="0" applyFont="1" applyFill="1" applyBorder="1" applyAlignment="1">
      <alignment horizontal="center" vertical="center" shrinkToFit="1"/>
    </xf>
    <xf numFmtId="180" fontId="46" fillId="6" borderId="46" xfId="1" applyNumberFormat="1" applyFont="1" applyBorder="1" applyAlignment="1">
      <alignment horizontal="center" vertical="center" shrinkToFit="1"/>
    </xf>
    <xf numFmtId="0" fontId="48" fillId="6" borderId="49" xfId="1" applyFont="1" applyBorder="1" applyAlignment="1">
      <alignment horizontal="center" vertical="center" shrinkToFit="1"/>
    </xf>
    <xf numFmtId="0" fontId="36" fillId="3" borderId="0" xfId="0" applyFont="1" applyFill="1" applyAlignment="1">
      <alignment horizontal="left" vertical="center"/>
    </xf>
    <xf numFmtId="0" fontId="36" fillId="9" borderId="9" xfId="3" applyFont="1" applyBorder="1" applyAlignment="1">
      <alignment horizontal="center" vertical="center" shrinkToFit="1"/>
    </xf>
    <xf numFmtId="0" fontId="36" fillId="2" borderId="1" xfId="2" applyFont="1" applyBorder="1" applyAlignment="1">
      <alignment horizontal="center" vertical="center" textRotation="255" shrinkToFit="1"/>
    </xf>
    <xf numFmtId="0" fontId="36" fillId="2" borderId="20" xfId="2" applyFont="1" applyBorder="1" applyAlignment="1">
      <alignment horizontal="center" vertical="center" textRotation="255" shrinkToFit="1"/>
    </xf>
    <xf numFmtId="0" fontId="36" fillId="2" borderId="9" xfId="2" applyFont="1" applyBorder="1" applyAlignment="1">
      <alignment horizontal="center" vertical="center" textRotation="255" shrinkToFit="1"/>
    </xf>
    <xf numFmtId="0" fontId="36" fillId="2" borderId="22" xfId="2" applyFont="1" applyBorder="1" applyAlignment="1">
      <alignment horizontal="center" vertical="center" textRotation="255" shrinkToFit="1"/>
    </xf>
    <xf numFmtId="0" fontId="36" fillId="3" borderId="1" xfId="3" applyFont="1" applyFill="1" applyBorder="1" applyAlignment="1">
      <alignment horizontal="center" vertical="center" shrinkToFit="1"/>
    </xf>
    <xf numFmtId="0" fontId="36" fillId="3" borderId="9" xfId="3" applyFont="1" applyFill="1" applyBorder="1" applyAlignment="1">
      <alignment horizontal="center" vertical="center" shrinkToFit="1"/>
    </xf>
    <xf numFmtId="0" fontId="36" fillId="2" borderId="69" xfId="2" applyFont="1" applyBorder="1" applyAlignment="1">
      <alignment horizontal="center" vertical="center" shrinkToFit="1"/>
    </xf>
    <xf numFmtId="0" fontId="36" fillId="2" borderId="70" xfId="2" applyFont="1" applyBorder="1" applyAlignment="1">
      <alignment horizontal="center" vertical="center" shrinkToFit="1"/>
    </xf>
    <xf numFmtId="0" fontId="36" fillId="2" borderId="70" xfId="2" applyFont="1" applyBorder="1" applyAlignment="1">
      <alignment horizontal="center" vertical="center" shrinkToFit="1"/>
    </xf>
    <xf numFmtId="179" fontId="36" fillId="3" borderId="70" xfId="0" applyNumberFormat="1" applyFont="1" applyFill="1" applyBorder="1" applyAlignment="1">
      <alignment horizontal="center" vertical="center" shrinkToFit="1"/>
    </xf>
    <xf numFmtId="0" fontId="49" fillId="9" borderId="71" xfId="3" applyNumberFormat="1" applyFont="1" applyBorder="1" applyAlignment="1">
      <alignment horizontal="center" vertical="center" shrinkToFit="1"/>
    </xf>
    <xf numFmtId="0" fontId="36" fillId="3" borderId="72" xfId="2" applyFont="1" applyFill="1" applyBorder="1" applyAlignment="1">
      <alignment horizontal="center" vertical="center" shrinkToFit="1"/>
    </xf>
    <xf numFmtId="0" fontId="36" fillId="3" borderId="73" xfId="2" applyFont="1" applyFill="1" applyBorder="1" applyAlignment="1">
      <alignment horizontal="center" vertical="center" shrinkToFit="1"/>
    </xf>
    <xf numFmtId="179" fontId="36" fillId="3" borderId="73" xfId="0" applyNumberFormat="1" applyFont="1" applyFill="1" applyBorder="1" applyAlignment="1">
      <alignment horizontal="center" vertical="center" shrinkToFit="1"/>
    </xf>
    <xf numFmtId="0" fontId="49" fillId="9" borderId="75" xfId="3" applyNumberFormat="1" applyFont="1" applyBorder="1" applyAlignment="1">
      <alignment horizontal="center" vertical="center" shrinkToFit="1"/>
    </xf>
    <xf numFmtId="0" fontId="36" fillId="2" borderId="73" xfId="2" applyFont="1" applyBorder="1" applyAlignment="1">
      <alignment horizontal="center" vertical="center" shrinkToFit="1"/>
    </xf>
    <xf numFmtId="0" fontId="49" fillId="9" borderId="76" xfId="3" applyNumberFormat="1" applyFont="1" applyBorder="1" applyAlignment="1">
      <alignment horizontal="center" vertical="center" shrinkToFit="1"/>
    </xf>
    <xf numFmtId="0" fontId="36" fillId="2" borderId="72" xfId="2" applyFont="1" applyBorder="1" applyAlignment="1">
      <alignment horizontal="center" vertical="center" shrinkToFit="1"/>
    </xf>
    <xf numFmtId="0" fontId="36" fillId="2" borderId="73" xfId="2" applyFont="1" applyBorder="1" applyAlignment="1">
      <alignment horizontal="center" vertical="center" shrinkToFit="1"/>
    </xf>
    <xf numFmtId="0" fontId="49" fillId="9" borderId="74" xfId="3" applyNumberFormat="1" applyFont="1" applyBorder="1" applyAlignment="1">
      <alignment horizontal="center" vertical="center" shrinkToFit="1"/>
    </xf>
    <xf numFmtId="0" fontId="36" fillId="2" borderId="97" xfId="2" applyFont="1" applyBorder="1" applyAlignment="1">
      <alignment horizontal="center" vertical="center" shrinkToFit="1"/>
    </xf>
    <xf numFmtId="0" fontId="36" fillId="2" borderId="98" xfId="2" applyFont="1" applyBorder="1" applyAlignment="1">
      <alignment horizontal="center" vertical="center" shrinkToFit="1"/>
    </xf>
    <xf numFmtId="0" fontId="36" fillId="9" borderId="98" xfId="3" applyFont="1" applyBorder="1" applyAlignment="1">
      <alignment horizontal="center" vertical="center" shrinkToFit="1"/>
    </xf>
    <xf numFmtId="0" fontId="36" fillId="9" borderId="99" xfId="3" applyFont="1" applyBorder="1" applyAlignment="1">
      <alignment horizontal="center" vertical="center" shrinkToFit="1"/>
    </xf>
    <xf numFmtId="0" fontId="36" fillId="2" borderId="100" xfId="2" applyFont="1" applyBorder="1" applyAlignment="1">
      <alignment horizontal="center" vertical="center" shrinkToFit="1"/>
    </xf>
    <xf numFmtId="0" fontId="36" fillId="2" borderId="101" xfId="2" applyFont="1" applyBorder="1" applyAlignment="1">
      <alignment horizontal="center" vertical="center" shrinkToFit="1"/>
    </xf>
    <xf numFmtId="0" fontId="36" fillId="2" borderId="102" xfId="2" applyFont="1" applyBorder="1" applyAlignment="1">
      <alignment horizontal="center" vertical="center" shrinkToFit="1"/>
    </xf>
    <xf numFmtId="0" fontId="36" fillId="3" borderId="72" xfId="3" applyFont="1" applyFill="1" applyBorder="1" applyAlignment="1">
      <alignment horizontal="center" vertical="center" shrinkToFit="1"/>
    </xf>
    <xf numFmtId="0" fontId="36" fillId="3" borderId="73" xfId="3" applyFont="1" applyFill="1" applyBorder="1" applyAlignment="1">
      <alignment horizontal="center" vertical="center" shrinkToFit="1"/>
    </xf>
    <xf numFmtId="0" fontId="36" fillId="0" borderId="73" xfId="0" applyFont="1" applyFill="1" applyBorder="1" applyAlignment="1">
      <alignment horizontal="center" vertical="center"/>
    </xf>
    <xf numFmtId="0" fontId="36" fillId="9" borderId="38" xfId="3" applyFont="1" applyBorder="1" applyAlignment="1">
      <alignment horizontal="center" vertical="center" shrinkToFit="1"/>
    </xf>
    <xf numFmtId="0" fontId="36" fillId="9" borderId="3" xfId="3" applyFont="1" applyBorder="1" applyAlignment="1">
      <alignment horizontal="center" vertical="center" shrinkToFit="1"/>
    </xf>
    <xf numFmtId="0" fontId="36" fillId="9" borderId="10" xfId="3" applyFont="1" applyBorder="1" applyAlignment="1">
      <alignment horizontal="center" vertical="center" shrinkToFit="1"/>
    </xf>
    <xf numFmtId="0" fontId="36" fillId="2" borderId="10" xfId="2" applyFont="1" applyBorder="1" applyAlignment="1">
      <alignment horizontal="center" vertical="center" shrinkToFit="1"/>
    </xf>
    <xf numFmtId="0" fontId="53" fillId="3" borderId="72" xfId="0" applyFont="1" applyFill="1" applyBorder="1" applyAlignment="1">
      <alignment horizontal="center" vertical="center" shrinkToFit="1"/>
    </xf>
    <xf numFmtId="0" fontId="53" fillId="3" borderId="73" xfId="0" applyFont="1" applyFill="1" applyBorder="1" applyAlignment="1">
      <alignment horizontal="center" vertical="center" shrinkToFit="1"/>
    </xf>
    <xf numFmtId="180" fontId="53" fillId="9" borderId="4" xfId="3" applyNumberFormat="1" applyFont="1" applyBorder="1" applyAlignment="1">
      <alignment horizontal="center" vertical="center" wrapText="1" shrinkToFit="1"/>
    </xf>
    <xf numFmtId="180" fontId="53" fillId="9" borderId="40" xfId="3" applyNumberFormat="1" applyFont="1" applyBorder="1" applyAlignment="1">
      <alignment horizontal="center" vertical="center" wrapText="1" shrinkToFit="1"/>
    </xf>
    <xf numFmtId="180" fontId="53" fillId="9" borderId="0" xfId="3" applyNumberFormat="1" applyFont="1" applyBorder="1" applyAlignment="1">
      <alignment horizontal="center" vertical="center" wrapText="1" shrinkToFit="1"/>
    </xf>
    <xf numFmtId="180" fontId="53" fillId="9" borderId="16" xfId="3" applyNumberFormat="1" applyFont="1" applyBorder="1" applyAlignment="1">
      <alignment horizontal="center" vertical="center" wrapText="1" shrinkToFit="1"/>
    </xf>
    <xf numFmtId="0" fontId="36" fillId="9" borderId="72" xfId="3" applyFont="1" applyBorder="1" applyAlignment="1">
      <alignment horizontal="center" vertical="center" shrinkToFit="1"/>
    </xf>
    <xf numFmtId="0" fontId="36" fillId="9" borderId="73" xfId="3" applyFont="1" applyBorder="1" applyAlignment="1">
      <alignment horizontal="center" vertical="center" shrinkToFit="1"/>
    </xf>
    <xf numFmtId="0" fontId="36" fillId="9" borderId="73" xfId="3" applyFont="1" applyBorder="1" applyAlignment="1">
      <alignment horizontal="center" vertical="center" shrinkToFit="1"/>
    </xf>
    <xf numFmtId="0" fontId="36" fillId="2" borderId="77" xfId="2" applyFont="1" applyBorder="1" applyAlignment="1">
      <alignment horizontal="center" vertical="center" shrinkToFit="1"/>
    </xf>
    <xf numFmtId="0" fontId="36" fillId="2" borderId="78" xfId="2" applyFont="1" applyBorder="1" applyAlignment="1">
      <alignment horizontal="center" vertical="center" shrinkToFit="1"/>
    </xf>
    <xf numFmtId="0" fontId="36" fillId="9" borderId="35" xfId="3" applyFont="1" applyBorder="1" applyAlignment="1">
      <alignment horizontal="center" vertical="center" shrinkToFit="1"/>
    </xf>
    <xf numFmtId="0" fontId="36" fillId="9" borderId="4" xfId="3" applyFont="1" applyBorder="1" applyAlignment="1">
      <alignment horizontal="center" vertical="center" shrinkToFit="1"/>
    </xf>
    <xf numFmtId="0" fontId="36" fillId="9" borderId="40" xfId="3" applyFont="1" applyBorder="1" applyAlignment="1">
      <alignment horizontal="center" vertical="center" shrinkToFit="1"/>
    </xf>
    <xf numFmtId="0" fontId="40" fillId="0" borderId="73" xfId="0" applyFont="1" applyBorder="1" applyAlignment="1">
      <alignment horizontal="center" vertical="center" shrinkToFit="1"/>
    </xf>
    <xf numFmtId="0" fontId="36" fillId="2" borderId="103" xfId="2" applyFont="1" applyBorder="1" applyAlignment="1">
      <alignment horizontal="center" vertical="center" shrinkToFit="1"/>
    </xf>
    <xf numFmtId="0" fontId="36" fillId="2" borderId="104" xfId="2" applyFont="1" applyBorder="1" applyAlignment="1">
      <alignment horizontal="center" vertical="center" shrinkToFit="1"/>
    </xf>
    <xf numFmtId="0" fontId="36" fillId="2" borderId="116" xfId="2" applyFont="1" applyBorder="1" applyAlignment="1">
      <alignment horizontal="center" vertical="center" shrinkToFit="1"/>
    </xf>
    <xf numFmtId="0" fontId="36" fillId="0" borderId="104" xfId="0" applyFont="1" applyBorder="1" applyAlignment="1">
      <alignment horizontal="center" vertical="center"/>
    </xf>
    <xf numFmtId="0" fontId="36" fillId="0" borderId="105" xfId="0" applyFont="1" applyBorder="1" applyAlignment="1">
      <alignment horizontal="center" vertical="center"/>
    </xf>
    <xf numFmtId="0" fontId="40" fillId="2" borderId="124" xfId="2" applyFont="1" applyBorder="1" applyAlignment="1">
      <alignment horizontal="center" vertical="center" textRotation="255" shrinkToFit="1"/>
    </xf>
    <xf numFmtId="0" fontId="40" fillId="0" borderId="0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180" fontId="36" fillId="9" borderId="72" xfId="3" applyNumberFormat="1" applyFont="1" applyBorder="1" applyAlignment="1">
      <alignment horizontal="center" vertical="center" shrinkToFit="1"/>
    </xf>
    <xf numFmtId="180" fontId="36" fillId="9" borderId="73" xfId="3" applyNumberFormat="1" applyFont="1" applyBorder="1" applyAlignment="1">
      <alignment horizontal="center" vertical="center" shrinkToFit="1"/>
    </xf>
    <xf numFmtId="0" fontId="36" fillId="3" borderId="73" xfId="2" applyFont="1" applyFill="1" applyBorder="1" applyAlignment="1">
      <alignment horizontal="center" vertical="center" shrinkToFit="1"/>
    </xf>
    <xf numFmtId="0" fontId="36" fillId="2" borderId="79" xfId="2" applyFont="1" applyBorder="1" applyAlignment="1">
      <alignment horizontal="center" vertical="center" shrinkToFit="1"/>
    </xf>
    <xf numFmtId="0" fontId="40" fillId="2" borderId="125" xfId="2" applyFont="1" applyBorder="1" applyAlignment="1">
      <alignment horizontal="center" vertical="center" textRotation="255" shrinkToFit="1"/>
    </xf>
    <xf numFmtId="0" fontId="40" fillId="0" borderId="29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36" fillId="3" borderId="77" xfId="2" applyFont="1" applyFill="1" applyBorder="1" applyAlignment="1">
      <alignment horizontal="center" vertical="center" shrinkToFit="1"/>
    </xf>
    <xf numFmtId="0" fontId="36" fillId="3" borderId="78" xfId="2" applyFont="1" applyFill="1" applyBorder="1" applyAlignment="1">
      <alignment horizontal="center" vertical="center" shrinkToFit="1"/>
    </xf>
    <xf numFmtId="0" fontId="36" fillId="3" borderId="79" xfId="2" applyFont="1" applyFill="1" applyBorder="1" applyAlignment="1">
      <alignment horizontal="center" vertical="center" shrinkToFit="1"/>
    </xf>
    <xf numFmtId="0" fontId="36" fillId="2" borderId="38" xfId="2" applyFont="1" applyBorder="1" applyAlignment="1">
      <alignment horizontal="center" vertical="center" shrinkToFit="1"/>
    </xf>
    <xf numFmtId="0" fontId="36" fillId="3" borderId="107" xfId="2" applyFont="1" applyFill="1" applyBorder="1" applyAlignment="1">
      <alignment horizontal="center" vertical="center" shrinkToFit="1"/>
    </xf>
    <xf numFmtId="0" fontId="36" fillId="3" borderId="108" xfId="2" applyFont="1" applyFill="1" applyBorder="1" applyAlignment="1">
      <alignment horizontal="center" vertical="center" shrinkToFit="1"/>
    </xf>
    <xf numFmtId="0" fontId="36" fillId="3" borderId="108" xfId="0" applyFont="1" applyFill="1" applyBorder="1" applyAlignment="1">
      <alignment horizontal="center" vertical="center" shrinkToFit="1"/>
    </xf>
    <xf numFmtId="179" fontId="36" fillId="3" borderId="108" xfId="0" applyNumberFormat="1" applyFont="1" applyFill="1" applyBorder="1" applyAlignment="1">
      <alignment horizontal="center" vertical="center" shrinkToFit="1"/>
    </xf>
    <xf numFmtId="0" fontId="49" fillId="9" borderId="109" xfId="3" applyNumberFormat="1" applyFont="1" applyBorder="1" applyAlignment="1">
      <alignment horizontal="center" vertical="center" shrinkToFit="1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55" fillId="0" borderId="40" xfId="0" applyFont="1" applyBorder="1" applyAlignment="1">
      <alignment horizontal="center" vertical="center" wrapText="1" shrinkToFit="1"/>
    </xf>
    <xf numFmtId="0" fontId="36" fillId="2" borderId="107" xfId="2" applyFont="1" applyBorder="1" applyAlignment="1">
      <alignment horizontal="center" vertical="center" shrinkToFit="1"/>
    </xf>
    <xf numFmtId="0" fontId="36" fillId="2" borderId="108" xfId="2" applyFont="1" applyBorder="1" applyAlignment="1">
      <alignment horizontal="center" vertical="center" shrinkToFit="1"/>
    </xf>
    <xf numFmtId="0" fontId="36" fillId="2" borderId="108" xfId="2" applyFont="1" applyBorder="1" applyAlignment="1">
      <alignment horizontal="center" vertical="center" shrinkToFit="1"/>
    </xf>
    <xf numFmtId="0" fontId="55" fillId="0" borderId="34" xfId="0" applyFont="1" applyBorder="1" applyAlignment="1">
      <alignment horizontal="center" vertical="center" wrapText="1" shrinkToFit="1"/>
    </xf>
    <xf numFmtId="0" fontId="55" fillId="0" borderId="29" xfId="0" applyFont="1" applyBorder="1" applyAlignment="1">
      <alignment horizontal="center" vertical="center" wrapText="1" shrinkToFit="1"/>
    </xf>
    <xf numFmtId="0" fontId="55" fillId="0" borderId="37" xfId="0" applyFont="1" applyBorder="1" applyAlignment="1">
      <alignment horizontal="center" vertical="center" wrapText="1" shrinkToFit="1"/>
    </xf>
    <xf numFmtId="0" fontId="36" fillId="2" borderId="113" xfId="2" applyFont="1" applyBorder="1" applyAlignment="1">
      <alignment horizontal="center" vertical="center" shrinkToFit="1"/>
    </xf>
    <xf numFmtId="0" fontId="36" fillId="2" borderId="91" xfId="2" applyFont="1" applyBorder="1" applyAlignment="1">
      <alignment horizontal="center" vertical="center" shrinkToFit="1"/>
    </xf>
    <xf numFmtId="0" fontId="36" fillId="2" borderId="91" xfId="2" applyFont="1" applyBorder="1" applyAlignment="1">
      <alignment horizontal="center" vertical="center" shrinkToFit="1"/>
    </xf>
    <xf numFmtId="179" fontId="36" fillId="3" borderId="91" xfId="0" applyNumberFormat="1" applyFont="1" applyFill="1" applyBorder="1" applyAlignment="1">
      <alignment horizontal="center" vertical="center" shrinkToFit="1"/>
    </xf>
    <xf numFmtId="0" fontId="49" fillId="9" borderId="114" xfId="3" applyNumberFormat="1" applyFont="1" applyBorder="1" applyAlignment="1">
      <alignment horizontal="center" vertical="center" shrinkToFit="1"/>
    </xf>
    <xf numFmtId="0" fontId="36" fillId="3" borderId="113" xfId="2" applyFont="1" applyFill="1" applyBorder="1" applyAlignment="1">
      <alignment horizontal="center" vertical="center" shrinkToFit="1"/>
    </xf>
    <xf numFmtId="0" fontId="36" fillId="3" borderId="91" xfId="2" applyFont="1" applyFill="1" applyBorder="1" applyAlignment="1">
      <alignment horizontal="center" vertical="center" shrinkToFit="1"/>
    </xf>
    <xf numFmtId="0" fontId="36" fillId="3" borderId="93" xfId="2" applyFont="1" applyFill="1" applyBorder="1" applyAlignment="1">
      <alignment horizontal="center" vertical="center" shrinkToFit="1"/>
    </xf>
    <xf numFmtId="0" fontId="36" fillId="3" borderId="89" xfId="2" applyFont="1" applyFill="1" applyBorder="1" applyAlignment="1">
      <alignment horizontal="center" vertical="center" shrinkToFit="1"/>
    </xf>
    <xf numFmtId="0" fontId="36" fillId="3" borderId="90" xfId="2" applyFont="1" applyFill="1" applyBorder="1" applyAlignment="1">
      <alignment horizontal="center" vertical="center" shrinkToFit="1"/>
    </xf>
    <xf numFmtId="0" fontId="36" fillId="3" borderId="91" xfId="2" applyFont="1" applyFill="1" applyBorder="1" applyAlignment="1">
      <alignment horizontal="center" vertical="center" shrinkToFit="1"/>
    </xf>
    <xf numFmtId="0" fontId="49" fillId="9" borderId="115" xfId="3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2" borderId="20" xfId="2" applyFont="1" applyBorder="1" applyAlignment="1">
      <alignment horizontal="center" vertical="center" wrapText="1"/>
    </xf>
    <xf numFmtId="0" fontId="36" fillId="0" borderId="20" xfId="0" applyFont="1" applyBorder="1">
      <alignment vertical="center"/>
    </xf>
    <xf numFmtId="0" fontId="36" fillId="0" borderId="3" xfId="0" applyFont="1" applyBorder="1">
      <alignment vertical="center"/>
    </xf>
    <xf numFmtId="0" fontId="36" fillId="0" borderId="21" xfId="0" applyFont="1" applyBorder="1">
      <alignment vertical="center"/>
    </xf>
    <xf numFmtId="0" fontId="36" fillId="3" borderId="39" xfId="0" applyFont="1" applyFill="1" applyBorder="1" applyAlignment="1">
      <alignment vertical="center" wrapText="1"/>
    </xf>
    <xf numFmtId="0" fontId="36" fillId="3" borderId="21" xfId="0" applyFont="1" applyFill="1" applyBorder="1" applyAlignment="1">
      <alignment vertical="center" wrapText="1"/>
    </xf>
    <xf numFmtId="0" fontId="36" fillId="3" borderId="57" xfId="0" applyFont="1" applyFill="1" applyBorder="1" applyAlignment="1">
      <alignment vertical="center" wrapText="1"/>
    </xf>
    <xf numFmtId="0" fontId="36" fillId="2" borderId="103" xfId="2" applyFont="1" applyBorder="1" applyAlignment="1">
      <alignment horizontal="center" vertical="center" wrapText="1"/>
    </xf>
    <xf numFmtId="0" fontId="36" fillId="2" borderId="104" xfId="2" applyFont="1" applyBorder="1" applyAlignment="1">
      <alignment horizontal="center" vertical="center" wrapText="1"/>
    </xf>
    <xf numFmtId="0" fontId="36" fillId="2" borderId="116" xfId="2" applyFont="1" applyBorder="1" applyAlignment="1">
      <alignment horizontal="center" vertical="center" wrapText="1"/>
    </xf>
    <xf numFmtId="0" fontId="36" fillId="9" borderId="17" xfId="3" applyNumberFormat="1" applyFont="1" applyBorder="1" applyAlignment="1">
      <alignment horizontal="right" vertical="center" shrinkToFit="1"/>
    </xf>
    <xf numFmtId="0" fontId="36" fillId="9" borderId="104" xfId="3" applyNumberFormat="1" applyFont="1" applyBorder="1" applyAlignment="1">
      <alignment horizontal="right" vertical="center" shrinkToFit="1"/>
    </xf>
    <xf numFmtId="0" fontId="36" fillId="9" borderId="116" xfId="3" applyNumberFormat="1" applyFont="1" applyBorder="1" applyAlignment="1">
      <alignment horizontal="right" vertical="center" shrinkToFit="1"/>
    </xf>
    <xf numFmtId="0" fontId="36" fillId="2" borderId="17" xfId="2" applyFont="1" applyBorder="1" applyAlignment="1">
      <alignment horizontal="center" vertical="center" shrinkToFit="1"/>
    </xf>
    <xf numFmtId="184" fontId="36" fillId="9" borderId="17" xfId="3" applyNumberFormat="1" applyFont="1" applyBorder="1" applyAlignment="1">
      <alignment horizontal="right" vertical="center" shrinkToFit="1"/>
    </xf>
    <xf numFmtId="184" fontId="36" fillId="9" borderId="104" xfId="3" applyNumberFormat="1" applyFont="1" applyBorder="1" applyAlignment="1">
      <alignment horizontal="right" vertical="center" shrinkToFit="1"/>
    </xf>
    <xf numFmtId="182" fontId="36" fillId="9" borderId="104" xfId="3" applyNumberFormat="1" applyFont="1" applyBorder="1" applyAlignment="1">
      <alignment vertical="center" shrinkToFit="1"/>
    </xf>
    <xf numFmtId="183" fontId="36" fillId="9" borderId="117" xfId="3" applyNumberFormat="1" applyFont="1" applyBorder="1" applyAlignment="1">
      <alignment vertical="center" shrinkToFit="1"/>
    </xf>
    <xf numFmtId="0" fontId="36" fillId="2" borderId="118" xfId="2" applyFont="1" applyBorder="1">
      <alignment horizontal="center" vertical="center" shrinkToFit="1"/>
    </xf>
    <xf numFmtId="0" fontId="36" fillId="2" borderId="120" xfId="2" applyFont="1" applyBorder="1">
      <alignment horizontal="center" vertical="center" shrinkToFit="1"/>
    </xf>
    <xf numFmtId="0" fontId="36" fillId="2" borderId="66" xfId="2" applyFont="1" applyBorder="1">
      <alignment horizontal="center" vertical="center" shrinkToFit="1"/>
    </xf>
    <xf numFmtId="0" fontId="36" fillId="2" borderId="61" xfId="2" applyFont="1" applyBorder="1" applyAlignment="1">
      <alignment horizontal="center" vertical="center" shrinkToFit="1"/>
    </xf>
    <xf numFmtId="0" fontId="36" fillId="2" borderId="119" xfId="2" applyFont="1" applyBorder="1">
      <alignment horizontal="center" vertical="center" shrinkToFit="1"/>
    </xf>
    <xf numFmtId="0" fontId="36" fillId="3" borderId="38" xfId="0" applyFont="1" applyFill="1" applyBorder="1" applyAlignment="1">
      <alignment horizontal="center" vertical="center" shrinkToFit="1"/>
    </xf>
    <xf numFmtId="0" fontId="36" fillId="3" borderId="21" xfId="0" applyFont="1" applyFill="1" applyBorder="1" applyAlignment="1">
      <alignment horizontal="center" vertical="center" shrinkToFit="1"/>
    </xf>
    <xf numFmtId="182" fontId="36" fillId="3" borderId="20" xfId="0" applyNumberFormat="1" applyFont="1" applyFill="1" applyBorder="1" applyAlignment="1">
      <alignment horizontal="center" vertical="center" shrinkToFit="1"/>
    </xf>
    <xf numFmtId="183" fontId="36" fillId="3" borderId="1" xfId="0" applyNumberFormat="1" applyFont="1" applyFill="1" applyBorder="1" applyAlignment="1">
      <alignment horizontal="center" vertical="center" shrinkToFit="1"/>
    </xf>
    <xf numFmtId="0" fontId="36" fillId="3" borderId="41" xfId="0" applyFont="1" applyFill="1" applyBorder="1" applyAlignment="1">
      <alignment horizontal="center" vertical="center" shrinkToFit="1"/>
    </xf>
    <xf numFmtId="0" fontId="36" fillId="3" borderId="39" xfId="0" applyFont="1" applyFill="1" applyBorder="1" applyAlignment="1">
      <alignment horizontal="center" vertical="center" shrinkToFit="1"/>
    </xf>
    <xf numFmtId="182" fontId="36" fillId="3" borderId="123" xfId="0" applyNumberFormat="1" applyFont="1" applyFill="1" applyBorder="1" applyAlignment="1">
      <alignment horizontal="center" vertical="center" shrinkToFit="1"/>
    </xf>
    <xf numFmtId="184" fontId="36" fillId="3" borderId="17" xfId="0" applyNumberFormat="1" applyFont="1" applyFill="1" applyBorder="1" applyAlignment="1">
      <alignment horizontal="center" vertical="center" shrinkToFit="1"/>
    </xf>
    <xf numFmtId="184" fontId="36" fillId="3" borderId="116" xfId="0" applyNumberFormat="1" applyFont="1" applyFill="1" applyBorder="1" applyAlignment="1">
      <alignment horizontal="center" vertical="center" shrinkToFit="1"/>
    </xf>
    <xf numFmtId="182" fontId="36" fillId="3" borderId="17" xfId="0" applyNumberFormat="1" applyFont="1" applyFill="1" applyBorder="1" applyAlignment="1">
      <alignment horizontal="center" vertical="center" shrinkToFit="1"/>
    </xf>
    <xf numFmtId="183" fontId="36" fillId="3" borderId="5" xfId="0" applyNumberFormat="1" applyFont="1" applyFill="1" applyBorder="1" applyAlignment="1">
      <alignment horizontal="center" vertical="center" shrinkToFit="1"/>
    </xf>
    <xf numFmtId="182" fontId="36" fillId="3" borderId="5" xfId="0" applyNumberFormat="1" applyFont="1" applyFill="1" applyBorder="1" applyAlignment="1">
      <alignment horizontal="center" vertical="center" shrinkToFit="1"/>
    </xf>
    <xf numFmtId="0" fontId="36" fillId="2" borderId="61" xfId="2" applyFont="1" applyBorder="1">
      <alignment horizontal="center" vertical="center" shrinkToFit="1"/>
    </xf>
    <xf numFmtId="0" fontId="40" fillId="0" borderId="101" xfId="0" applyFont="1" applyBorder="1">
      <alignment vertical="center"/>
    </xf>
    <xf numFmtId="0" fontId="40" fillId="0" borderId="66" xfId="0" applyFont="1" applyBorder="1">
      <alignment vertical="center"/>
    </xf>
    <xf numFmtId="0" fontId="36" fillId="9" borderId="33" xfId="3" applyFont="1" applyBorder="1">
      <alignment horizontal="center" vertical="center" shrinkToFit="1"/>
    </xf>
    <xf numFmtId="0" fontId="36" fillId="9" borderId="3" xfId="3" applyFont="1" applyBorder="1">
      <alignment horizontal="center" vertical="center" shrinkToFit="1"/>
    </xf>
    <xf numFmtId="0" fontId="36" fillId="9" borderId="39" xfId="3" applyFont="1" applyBorder="1">
      <alignment horizontal="center" vertical="center" shrinkToFit="1"/>
    </xf>
    <xf numFmtId="0" fontId="36" fillId="3" borderId="33" xfId="0" applyFont="1" applyFill="1" applyBorder="1" applyAlignment="1">
      <alignment horizontal="center" vertical="center" shrinkToFit="1"/>
    </xf>
    <xf numFmtId="184" fontId="36" fillId="3" borderId="20" xfId="0" applyNumberFormat="1" applyFont="1" applyFill="1" applyBorder="1" applyAlignment="1">
      <alignment vertical="center" shrinkToFit="1"/>
    </xf>
    <xf numFmtId="184" fontId="36" fillId="3" borderId="3" xfId="0" applyNumberFormat="1" applyFont="1" applyFill="1" applyBorder="1" applyAlignment="1">
      <alignment vertical="center" shrinkToFit="1"/>
    </xf>
    <xf numFmtId="182" fontId="36" fillId="3" borderId="1" xfId="0" applyNumberFormat="1" applyFont="1" applyFill="1" applyBorder="1" applyAlignment="1">
      <alignment vertical="center" shrinkToFit="1"/>
    </xf>
    <xf numFmtId="183" fontId="36" fillId="3" borderId="21" xfId="0" applyNumberFormat="1" applyFont="1" applyFill="1" applyBorder="1" applyAlignment="1">
      <alignment vertical="center" shrinkToFit="1"/>
    </xf>
    <xf numFmtId="0" fontId="36" fillId="3" borderId="121" xfId="0" applyFont="1" applyFill="1" applyBorder="1" applyAlignment="1">
      <alignment horizontal="center" vertical="center" shrinkToFit="1"/>
    </xf>
    <xf numFmtId="0" fontId="36" fillId="3" borderId="122" xfId="0" applyFont="1" applyFill="1" applyBorder="1" applyAlignment="1">
      <alignment horizontal="center" vertical="center" shrinkToFit="1"/>
    </xf>
    <xf numFmtId="0" fontId="36" fillId="3" borderId="54" xfId="0" applyFont="1" applyFill="1" applyBorder="1" applyAlignment="1">
      <alignment horizontal="center" vertical="center" shrinkToFit="1"/>
    </xf>
    <xf numFmtId="0" fontId="36" fillId="3" borderId="55" xfId="0" applyFont="1" applyFill="1" applyBorder="1" applyAlignment="1">
      <alignment horizontal="center" vertical="center" shrinkToFit="1"/>
    </xf>
    <xf numFmtId="0" fontId="36" fillId="3" borderId="57" xfId="0" applyFont="1" applyFill="1" applyBorder="1" applyAlignment="1">
      <alignment horizontal="center" vertical="center" shrinkToFit="1"/>
    </xf>
    <xf numFmtId="184" fontId="36" fillId="3" borderId="54" xfId="0" applyNumberFormat="1" applyFont="1" applyFill="1" applyBorder="1" applyAlignment="1">
      <alignment vertical="center" shrinkToFit="1"/>
    </xf>
    <xf numFmtId="184" fontId="36" fillId="3" borderId="55" xfId="0" applyNumberFormat="1" applyFont="1" applyFill="1" applyBorder="1" applyAlignment="1">
      <alignment vertical="center" shrinkToFit="1"/>
    </xf>
    <xf numFmtId="182" fontId="36" fillId="3" borderId="122" xfId="0" applyNumberFormat="1" applyFont="1" applyFill="1" applyBorder="1" applyAlignment="1">
      <alignment vertical="center" shrinkToFit="1"/>
    </xf>
    <xf numFmtId="183" fontId="36" fillId="3" borderId="57" xfId="0" applyNumberFormat="1" applyFont="1" applyFill="1" applyBorder="1" applyAlignment="1">
      <alignment vertical="center" shrinkToFit="1"/>
    </xf>
    <xf numFmtId="0" fontId="36" fillId="3" borderId="56" xfId="0" applyFont="1" applyFill="1" applyBorder="1" applyAlignment="1">
      <alignment horizontal="center" vertical="center" shrinkToFit="1"/>
    </xf>
    <xf numFmtId="0" fontId="39" fillId="3" borderId="0" xfId="0" applyFont="1" applyFill="1" applyAlignment="1">
      <alignment horizontal="center" vertical="center" shrinkToFit="1"/>
    </xf>
  </cellXfs>
  <cellStyles count="4">
    <cellStyle name="常规" xfId="0" builtinId="0"/>
    <cellStyle name="大标题" xfId="1"/>
    <cellStyle name="小标题" xfId="2"/>
    <cellStyle name="自动计算" xfId="3"/>
  </cellStyles>
  <dxfs count="8">
    <dxf>
      <font>
        <color rgb="FF00FF00"/>
      </font>
    </dxf>
    <dxf>
      <font>
        <color rgb="FFFFFF00"/>
      </font>
    </dxf>
    <dxf>
      <font>
        <color rgb="FFFF0000"/>
      </font>
    </dxf>
    <dxf>
      <font>
        <b/>
        <i val="0"/>
      </font>
    </dxf>
    <dxf>
      <font>
        <b/>
        <i val="0"/>
      </font>
    </dxf>
    <dxf>
      <font>
        <color rgb="FF00FF00"/>
      </font>
    </dxf>
    <dxf>
      <font>
        <color rgb="FFFFFF00"/>
      </font>
    </dxf>
    <dxf>
      <font>
        <color rgb="FFFF0000"/>
      </font>
    </dxf>
  </dxfs>
  <tableStyles count="0" defaultTableStyle="TableStyleMedium9" defaultPivotStyle="PivotStyleLight16"/>
  <colors>
    <mruColors>
      <color rgb="FFFFF1CD"/>
      <color rgb="FFEAEAEA"/>
      <color rgb="FF802E00"/>
      <color rgb="FFFFE5CD"/>
      <color rgb="FFFFDFCD"/>
      <color rgb="FFCCFFCC"/>
      <color rgb="FF008000"/>
      <color rgb="FF0000FF"/>
      <color rgb="FF7800C8"/>
      <color rgb="FF500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R$12" lockText="1" noThreeD="1"/>
</file>

<file path=xl/ctrlProps/ctrlProp5.xml><?xml version="1.0" encoding="utf-8"?>
<formControlPr xmlns="http://schemas.microsoft.com/office/spreadsheetml/2009/9/main" objectType="CheckBox" fmlaLink="$T$12" lockText="1" noThreeD="1"/>
</file>

<file path=xl/ctrlProps/ctrlProp6.xml><?xml version="1.0" encoding="utf-8"?>
<formControlPr xmlns="http://schemas.microsoft.com/office/spreadsheetml/2009/9/main" objectType="CheckBox" fmlaLink="$V$12" lockText="1" noThreeD="1"/>
</file>

<file path=xl/ctrlProps/ctrlProp7.xml><?xml version="1.0" encoding="utf-8"?>
<formControlPr xmlns="http://schemas.microsoft.com/office/spreadsheetml/2009/9/main" objectType="CheckBox" fmlaLink="$X$12" lockText="1" noThreeD="1"/>
</file>

<file path=xl/ctrlProps/ctrlProp8.xml><?xml version="1.0" encoding="utf-8"?>
<formControlPr xmlns="http://schemas.microsoft.com/office/spreadsheetml/2009/9/main" objectType="CheckBox" fmlaLink="$AA$12" lockText="1" noThreeD="1"/>
</file>

<file path=xl/ctrlProps/ctrlProp9.xml><?xml version="1.0" encoding="utf-8"?>
<formControlPr xmlns="http://schemas.microsoft.com/office/spreadsheetml/2009/9/main" objectType="CheckBox" fmlaLink="$B$15" lockText="1" noThreeD="1"/>
</file>

<file path=xl/ctrlProps/ctrlProp10.xml><?xml version="1.0" encoding="utf-8"?>
<formControlPr xmlns="http://schemas.microsoft.com/office/spreadsheetml/2009/9/main" objectType="CheckBox" fmlaLink="$B$16" lockText="1" noThreeD="1"/>
</file>

<file path=xl/ctrlProps/ctrlProp11.xml><?xml version="1.0" encoding="utf-8"?>
<formControlPr xmlns="http://schemas.microsoft.com/office/spreadsheetml/2009/9/main" objectType="CheckBox" fmlaLink="$B$17" lockText="1" noThreeD="1"/>
</file>

<file path=xl/ctrlProps/ctrlProp12.xml><?xml version="1.0" encoding="utf-8"?>
<formControlPr xmlns="http://schemas.microsoft.com/office/spreadsheetml/2009/9/main" objectType="CheckBox" fmlaLink="$B$18" lockText="1" noThreeD="1"/>
</file>

<file path=xl/ctrlProps/ctrlProp13.xml><?xml version="1.0" encoding="utf-8"?>
<formControlPr xmlns="http://schemas.microsoft.com/office/spreadsheetml/2009/9/main" objectType="CheckBox" fmlaLink="$B$19" lockText="1" noThreeD="1"/>
</file>

<file path=xl/ctrlProps/ctrlProp14.xml><?xml version="1.0" encoding="utf-8"?>
<formControlPr xmlns="http://schemas.microsoft.com/office/spreadsheetml/2009/9/main" objectType="CheckBox" fmlaLink="$B$20" lockText="1" noThreeD="1"/>
</file>

<file path=xl/ctrlProps/ctrlProp15.xml><?xml version="1.0" encoding="utf-8"?>
<formControlPr xmlns="http://schemas.microsoft.com/office/spreadsheetml/2009/9/main" objectType="CheckBox" fmlaLink="$B$21" lockText="1" noThreeD="1"/>
</file>

<file path=xl/ctrlProps/ctrlProp16.xml><?xml version="1.0" encoding="utf-8"?>
<formControlPr xmlns="http://schemas.microsoft.com/office/spreadsheetml/2009/9/main" objectType="CheckBox" fmlaLink="$B$22" lockText="1" noThreeD="1"/>
</file>

<file path=xl/ctrlProps/ctrlProp17.xml><?xml version="1.0" encoding="utf-8"?>
<formControlPr xmlns="http://schemas.microsoft.com/office/spreadsheetml/2009/9/main" objectType="CheckBox" fmlaLink="$B$25" lockText="1" noThreeD="1"/>
</file>

<file path=xl/ctrlProps/ctrlProp18.xml><?xml version="1.0" encoding="utf-8"?>
<formControlPr xmlns="http://schemas.microsoft.com/office/spreadsheetml/2009/9/main" objectType="CheckBox" fmlaLink="$B$26" lockText="1" noThreeD="1"/>
</file>

<file path=xl/ctrlProps/ctrlProp19.xml><?xml version="1.0" encoding="utf-8"?>
<formControlPr xmlns="http://schemas.microsoft.com/office/spreadsheetml/2009/9/main" objectType="CheckBox" fmlaLink="$B$27" lockText="1" noThreeD="1"/>
</file>

<file path=xl/ctrlProps/ctrlProp20.xml><?xml version="1.0" encoding="utf-8"?>
<formControlPr xmlns="http://schemas.microsoft.com/office/spreadsheetml/2009/9/main" objectType="CheckBox" fmlaLink="$B$29" lockText="1" noThreeD="1"/>
</file>

<file path=xl/ctrlProps/ctrlProp21.xml><?xml version="1.0" encoding="utf-8"?>
<formControlPr xmlns="http://schemas.microsoft.com/office/spreadsheetml/2009/9/main" objectType="CheckBox" fmlaLink="$B$28" lockText="1" noThreeD="1"/>
</file>

<file path=xl/ctrlProps/ctrlProp22.xml><?xml version="1.0" encoding="utf-8"?>
<formControlPr xmlns="http://schemas.microsoft.com/office/spreadsheetml/2009/9/main" objectType="CheckBox" fmlaLink="$B$30" lockText="1" noThreeD="1"/>
</file>

<file path=xl/ctrlProps/ctrlProp23.xml><?xml version="1.0" encoding="utf-8"?>
<formControlPr xmlns="http://schemas.microsoft.com/office/spreadsheetml/2009/9/main" objectType="CheckBox" fmlaLink="$B$31" lockText="1" noThreeD="1"/>
</file>

<file path=xl/ctrlProps/ctrlProp24.xml><?xml version="1.0" encoding="utf-8"?>
<formControlPr xmlns="http://schemas.microsoft.com/office/spreadsheetml/2009/9/main" objectType="CheckBox" fmlaLink="$B$32" lockText="1" noThreeD="1"/>
</file>

<file path=xl/ctrlProps/ctrlProp25.xml><?xml version="1.0" encoding="utf-8"?>
<formControlPr xmlns="http://schemas.microsoft.com/office/spreadsheetml/2009/9/main" objectType="CheckBox" fmlaLink="$B$33" lockText="1" noThreeD="1"/>
</file>

<file path=xl/ctrlProps/ctrlProp26.xml><?xml version="1.0" encoding="utf-8"?>
<formControlPr xmlns="http://schemas.microsoft.com/office/spreadsheetml/2009/9/main" objectType="CheckBox" fmlaLink="$B$34" lockText="1" noThreeD="1"/>
</file>

<file path=xl/ctrlProps/ctrlProp27.xml><?xml version="1.0" encoding="utf-8"?>
<formControlPr xmlns="http://schemas.microsoft.com/office/spreadsheetml/2009/9/main" objectType="CheckBox" fmlaLink="$B$35" lockText="1" noThreeD="1"/>
</file>

<file path=xl/ctrlProps/ctrlProp28.xml><?xml version="1.0" encoding="utf-8"?>
<formControlPr xmlns="http://schemas.microsoft.com/office/spreadsheetml/2009/9/main" objectType="CheckBox" fmlaLink="$K$15" lockText="1" noThreeD="1"/>
</file>

<file path=xl/ctrlProps/ctrlProp29.xml><?xml version="1.0" encoding="utf-8"?>
<formControlPr xmlns="http://schemas.microsoft.com/office/spreadsheetml/2009/9/main" objectType="CheckBox" fmlaLink="$K$16" lockText="1" noThreeD="1"/>
</file>

<file path=xl/ctrlProps/ctrlProp30.xml><?xml version="1.0" encoding="utf-8"?>
<formControlPr xmlns="http://schemas.microsoft.com/office/spreadsheetml/2009/9/main" objectType="CheckBox" fmlaLink="$K$17" lockText="1" noThreeD="1"/>
</file>

<file path=xl/ctrlProps/ctrlProp31.xml><?xml version="1.0" encoding="utf-8"?>
<formControlPr xmlns="http://schemas.microsoft.com/office/spreadsheetml/2009/9/main" objectType="CheckBox" fmlaLink="$K$18" lockText="1" noThreeD="1"/>
</file>

<file path=xl/ctrlProps/ctrlProp32.xml><?xml version="1.0" encoding="utf-8"?>
<formControlPr xmlns="http://schemas.microsoft.com/office/spreadsheetml/2009/9/main" objectType="CheckBox" fmlaLink="$K$19" lockText="1" noThreeD="1"/>
</file>

<file path=xl/ctrlProps/ctrlProp33.xml><?xml version="1.0" encoding="utf-8"?>
<formControlPr xmlns="http://schemas.microsoft.com/office/spreadsheetml/2009/9/main" objectType="CheckBox" fmlaLink="$K$20" lockText="1" noThreeD="1"/>
</file>

<file path=xl/ctrlProps/ctrlProp34.xml><?xml version="1.0" encoding="utf-8"?>
<formControlPr xmlns="http://schemas.microsoft.com/office/spreadsheetml/2009/9/main" objectType="CheckBox" fmlaLink="$K$21" lockText="1" noThreeD="1"/>
</file>

<file path=xl/ctrlProps/ctrlProp35.xml><?xml version="1.0" encoding="utf-8"?>
<formControlPr xmlns="http://schemas.microsoft.com/office/spreadsheetml/2009/9/main" objectType="CheckBox" fmlaLink="$K$22" lockText="1" noThreeD="1"/>
</file>

<file path=xl/ctrlProps/ctrlProp36.xml><?xml version="1.0" encoding="utf-8"?>
<formControlPr xmlns="http://schemas.microsoft.com/office/spreadsheetml/2009/9/main" objectType="CheckBox" fmlaLink="$K$23" lockText="1" noThreeD="1"/>
</file>

<file path=xl/ctrlProps/ctrlProp37.xml><?xml version="1.0" encoding="utf-8"?>
<formControlPr xmlns="http://schemas.microsoft.com/office/spreadsheetml/2009/9/main" objectType="CheckBox" fmlaLink="$K$24" lockText="1" noThreeD="1"/>
</file>

<file path=xl/ctrlProps/ctrlProp38.xml><?xml version="1.0" encoding="utf-8"?>
<formControlPr xmlns="http://schemas.microsoft.com/office/spreadsheetml/2009/9/main" objectType="CheckBox" fmlaLink="$K$25" lockText="1" noThreeD="1"/>
</file>

<file path=xl/ctrlProps/ctrlProp39.xml><?xml version="1.0" encoding="utf-8"?>
<formControlPr xmlns="http://schemas.microsoft.com/office/spreadsheetml/2009/9/main" objectType="CheckBox" fmlaLink="$K$26" lockText="1" noThreeD="1"/>
</file>

<file path=xl/ctrlProps/ctrlProp40.xml><?xml version="1.0" encoding="utf-8"?>
<formControlPr xmlns="http://schemas.microsoft.com/office/spreadsheetml/2009/9/main" objectType="CheckBox" fmlaLink="$K$27" lockText="1" noThreeD="1"/>
</file>

<file path=xl/ctrlProps/ctrlProp41.xml><?xml version="1.0" encoding="utf-8"?>
<formControlPr xmlns="http://schemas.microsoft.com/office/spreadsheetml/2009/9/main" objectType="CheckBox" fmlaLink="$K$28" lockText="1" noThreeD="1"/>
</file>

<file path=xl/ctrlProps/ctrlProp42.xml><?xml version="1.0" encoding="utf-8"?>
<formControlPr xmlns="http://schemas.microsoft.com/office/spreadsheetml/2009/9/main" objectType="CheckBox" fmlaLink="$K$29" lockText="1" noThreeD="1"/>
</file>

<file path=xl/ctrlProps/ctrlProp43.xml><?xml version="1.0" encoding="utf-8"?>
<formControlPr xmlns="http://schemas.microsoft.com/office/spreadsheetml/2009/9/main" objectType="CheckBox" fmlaLink="$K$30" lockText="1" noThreeD="1"/>
</file>

<file path=xl/ctrlProps/ctrlProp44.xml><?xml version="1.0" encoding="utf-8"?>
<formControlPr xmlns="http://schemas.microsoft.com/office/spreadsheetml/2009/9/main" objectType="CheckBox" fmlaLink="$K$31" lockText="1" noThreeD="1"/>
</file>

<file path=xl/ctrlProps/ctrlProp45.xml><?xml version="1.0" encoding="utf-8"?>
<formControlPr xmlns="http://schemas.microsoft.com/office/spreadsheetml/2009/9/main" objectType="CheckBox" fmlaLink="$K$32" lockText="1" noThreeD="1"/>
</file>

<file path=xl/ctrlProps/ctrlProp46.xml><?xml version="1.0" encoding="utf-8"?>
<formControlPr xmlns="http://schemas.microsoft.com/office/spreadsheetml/2009/9/main" objectType="CheckBox" fmlaLink="$K$33" lockText="1" noThreeD="1"/>
</file>

<file path=xl/ctrlProps/ctrlProp47.xml><?xml version="1.0" encoding="utf-8"?>
<formControlPr xmlns="http://schemas.microsoft.com/office/spreadsheetml/2009/9/main" objectType="CheckBox" fmlaLink="$K$34" lockText="1" noThreeD="1"/>
</file>

<file path=xl/ctrlProps/ctrlProp48.xml><?xml version="1.0" encoding="utf-8"?>
<formControlPr xmlns="http://schemas.microsoft.com/office/spreadsheetml/2009/9/main" objectType="CheckBox" fmlaLink="$K$35" lockText="1" noThreeD="1"/>
</file>

<file path=xl/ctrlProps/ctrlProp49.xml><?xml version="1.0" encoding="utf-8"?>
<formControlPr xmlns="http://schemas.microsoft.com/office/spreadsheetml/2009/9/main" objectType="CheckBox" fmlaLink="$T$15" lockText="1" noThreeD="1"/>
</file>

<file path=xl/ctrlProps/ctrlProp50.xml><?xml version="1.0" encoding="utf-8"?>
<formControlPr xmlns="http://schemas.microsoft.com/office/spreadsheetml/2009/9/main" objectType="CheckBox" fmlaLink="$T$16" lockText="1" noThreeD="1"/>
</file>

<file path=xl/ctrlProps/ctrlProp51.xml><?xml version="1.0" encoding="utf-8"?>
<formControlPr xmlns="http://schemas.microsoft.com/office/spreadsheetml/2009/9/main" objectType="CheckBox" fmlaLink="$T$17" lockText="1" noThreeD="1"/>
</file>

<file path=xl/ctrlProps/ctrlProp52.xml><?xml version="1.0" encoding="utf-8"?>
<formControlPr xmlns="http://schemas.microsoft.com/office/spreadsheetml/2009/9/main" objectType="CheckBox" fmlaLink="$T$18" lockText="1" noThreeD="1"/>
</file>

<file path=xl/ctrlProps/ctrlProp53.xml><?xml version="1.0" encoding="utf-8"?>
<formControlPr xmlns="http://schemas.microsoft.com/office/spreadsheetml/2009/9/main" objectType="CheckBox" fmlaLink="$T$19" lockText="1" noThreeD="1"/>
</file>

<file path=xl/ctrlProps/ctrlProp54.xml><?xml version="1.0" encoding="utf-8"?>
<formControlPr xmlns="http://schemas.microsoft.com/office/spreadsheetml/2009/9/main" objectType="CheckBox" fmlaLink="$T$20" lockText="1" noThreeD="1"/>
</file>

<file path=xl/ctrlProps/ctrlProp55.xml><?xml version="1.0" encoding="utf-8"?>
<formControlPr xmlns="http://schemas.microsoft.com/office/spreadsheetml/2009/9/main" objectType="CheckBox" fmlaLink="$T$21" lockText="1" noThreeD="1"/>
</file>

<file path=xl/ctrlProps/ctrlProp56.xml><?xml version="1.0" encoding="utf-8"?>
<formControlPr xmlns="http://schemas.microsoft.com/office/spreadsheetml/2009/9/main" objectType="CheckBox" fmlaLink="$T$22" lockText="1" noThreeD="1"/>
</file>

<file path=xl/ctrlProps/ctrlProp57.xml><?xml version="1.0" encoding="utf-8"?>
<formControlPr xmlns="http://schemas.microsoft.com/office/spreadsheetml/2009/9/main" objectType="CheckBox" fmlaLink="$T$23" lockText="1" noThreeD="1"/>
</file>

<file path=xl/ctrlProps/ctrlProp58.xml><?xml version="1.0" encoding="utf-8"?>
<formControlPr xmlns="http://schemas.microsoft.com/office/spreadsheetml/2009/9/main" objectType="CheckBox" fmlaLink="$T$24" lockText="1" noThreeD="1"/>
</file>

<file path=xl/ctrlProps/ctrlProp59.xml><?xml version="1.0" encoding="utf-8"?>
<formControlPr xmlns="http://schemas.microsoft.com/office/spreadsheetml/2009/9/main" objectType="CheckBox" fmlaLink="$T$25" lockText="1" noThreeD="1"/>
</file>

<file path=xl/ctrlProps/ctrlProp60.xml><?xml version="1.0" encoding="utf-8"?>
<formControlPr xmlns="http://schemas.microsoft.com/office/spreadsheetml/2009/9/main" objectType="CheckBox" fmlaLink="$T$26" lockText="1" noThreeD="1"/>
</file>

<file path=xl/ctrlProps/ctrlProp61.xml><?xml version="1.0" encoding="utf-8"?>
<formControlPr xmlns="http://schemas.microsoft.com/office/spreadsheetml/2009/9/main" objectType="CheckBox" fmlaLink="$T$27" lockText="1" noThreeD="1"/>
</file>

<file path=xl/ctrlProps/ctrlProp62.xml><?xml version="1.0" encoding="utf-8"?>
<formControlPr xmlns="http://schemas.microsoft.com/office/spreadsheetml/2009/9/main" objectType="CheckBox" fmlaLink="$T$28" lockText="1" noThreeD="1"/>
</file>

<file path=xl/ctrlProps/ctrlProp63.xml><?xml version="1.0" encoding="utf-8"?>
<formControlPr xmlns="http://schemas.microsoft.com/office/spreadsheetml/2009/9/main" objectType="CheckBox" fmlaLink="$T$29" lockText="1" noThreeD="1"/>
</file>

<file path=xl/ctrlProps/ctrlProp64.xml><?xml version="1.0" encoding="utf-8"?>
<formControlPr xmlns="http://schemas.microsoft.com/office/spreadsheetml/2009/9/main" objectType="CheckBox" fmlaLink="$T$30" lockText="1" noThreeD="1"/>
</file>

<file path=xl/ctrlProps/ctrlProp65.xml><?xml version="1.0" encoding="utf-8"?>
<formControlPr xmlns="http://schemas.microsoft.com/office/spreadsheetml/2009/9/main" objectType="CheckBox" fmlaLink="$T$31" lockText="1" noThreeD="1"/>
</file>

<file path=xl/ctrlProps/ctrlProp66.xml><?xml version="1.0" encoding="utf-8"?>
<formControlPr xmlns="http://schemas.microsoft.com/office/spreadsheetml/2009/9/main" objectType="CheckBox" fmlaLink="$T$32" lockText="1" noThreeD="1"/>
</file>

<file path=xl/ctrlProps/ctrlProp67.xml><?xml version="1.0" encoding="utf-8"?>
<formControlPr xmlns="http://schemas.microsoft.com/office/spreadsheetml/2009/9/main" objectType="CheckBox" fmlaLink="$T$33" lockText="1" noThreeD="1"/>
</file>

<file path=xl/ctrlProps/ctrlProp68.xml><?xml version="1.0" encoding="utf-8"?>
<formControlPr xmlns="http://schemas.microsoft.com/office/spreadsheetml/2009/9/main" objectType="CheckBox" fmlaLink="$T$34" lockText="1" noThreeD="1"/>
</file>

<file path=xl/ctrlProps/ctrlProp69.xml><?xml version="1.0" encoding="utf-8"?>
<formControlPr xmlns="http://schemas.microsoft.com/office/spreadsheetml/2009/9/main" objectType="CheckBox" fmlaLink="$T$35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36</xdr:row>
          <xdr:rowOff>47625</xdr:rowOff>
        </xdr:from>
        <xdr:to>
          <xdr:col>30</xdr:col>
          <xdr:colOff>114300</xdr:colOff>
          <xdr:row>36</xdr:row>
          <xdr:rowOff>266700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确认背景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161925</xdr:colOff>
          <xdr:row>47</xdr:row>
          <xdr:rowOff>47625</xdr:rowOff>
        </xdr:from>
        <xdr:to>
          <xdr:col>32</xdr:col>
          <xdr:colOff>123825</xdr:colOff>
          <xdr:row>47</xdr:row>
          <xdr:rowOff>257175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确认购物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228600</xdr:colOff>
          <xdr:row>2</xdr:row>
          <xdr:rowOff>133350</xdr:rowOff>
        </xdr:from>
        <xdr:to>
          <xdr:col>38</xdr:col>
          <xdr:colOff>104775</xdr:colOff>
          <xdr:row>4</xdr:row>
          <xdr:rowOff>9525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重置属性掷骰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26894</xdr:colOff>
      <xdr:row>4</xdr:row>
      <xdr:rowOff>48325</xdr:rowOff>
    </xdr:from>
    <xdr:to>
      <xdr:col>34</xdr:col>
      <xdr:colOff>236445</xdr:colOff>
      <xdr:row>8</xdr:row>
      <xdr:rowOff>10225</xdr:rowOff>
    </xdr:to>
    <xdr:pic>
      <xdr:nvPicPr>
        <xdr:cNvPr id="2" name="图片 1" descr="EE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6494" y="905575"/>
          <a:ext cx="723901" cy="723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10</xdr:row>
          <xdr:rowOff>180975</xdr:rowOff>
        </xdr:from>
        <xdr:to>
          <xdr:col>18</xdr:col>
          <xdr:colOff>200025</xdr:colOff>
          <xdr:row>12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161925</xdr:colOff>
          <xdr:row>10</xdr:row>
          <xdr:rowOff>180975</xdr:rowOff>
        </xdr:from>
        <xdr:to>
          <xdr:col>20</xdr:col>
          <xdr:colOff>209550</xdr:colOff>
          <xdr:row>12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10</xdr:row>
          <xdr:rowOff>180975</xdr:rowOff>
        </xdr:from>
        <xdr:to>
          <xdr:col>22</xdr:col>
          <xdr:colOff>200025</xdr:colOff>
          <xdr:row>12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10</xdr:row>
          <xdr:rowOff>180975</xdr:rowOff>
        </xdr:from>
        <xdr:to>
          <xdr:col>25</xdr:col>
          <xdr:colOff>66675</xdr:colOff>
          <xdr:row>12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10</xdr:row>
          <xdr:rowOff>180975</xdr:rowOff>
        </xdr:from>
        <xdr:to>
          <xdr:col>28</xdr:col>
          <xdr:colOff>66675</xdr:colOff>
          <xdr:row>12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304800</xdr:rowOff>
        </xdr:from>
        <xdr:to>
          <xdr:col>2</xdr:col>
          <xdr:colOff>76200</xdr:colOff>
          <xdr:row>15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14</xdr:row>
          <xdr:rowOff>180975</xdr:rowOff>
        </xdr:from>
        <xdr:to>
          <xdr:col>2</xdr:col>
          <xdr:colOff>76200</xdr:colOff>
          <xdr:row>16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180975</xdr:rowOff>
        </xdr:from>
        <xdr:to>
          <xdr:col>2</xdr:col>
          <xdr:colOff>76200</xdr:colOff>
          <xdr:row>17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180975</xdr:rowOff>
        </xdr:from>
        <xdr:to>
          <xdr:col>2</xdr:col>
          <xdr:colOff>76200</xdr:colOff>
          <xdr:row>18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180975</xdr:rowOff>
        </xdr:from>
        <xdr:to>
          <xdr:col>2</xdr:col>
          <xdr:colOff>76200</xdr:colOff>
          <xdr:row>19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180975</xdr:rowOff>
        </xdr:from>
        <xdr:to>
          <xdr:col>2</xdr:col>
          <xdr:colOff>76200</xdr:colOff>
          <xdr:row>20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180975</xdr:rowOff>
        </xdr:from>
        <xdr:to>
          <xdr:col>2</xdr:col>
          <xdr:colOff>76200</xdr:colOff>
          <xdr:row>21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180975</xdr:rowOff>
        </xdr:from>
        <xdr:to>
          <xdr:col>2</xdr:col>
          <xdr:colOff>76200</xdr:colOff>
          <xdr:row>22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21</xdr:row>
          <xdr:rowOff>180975</xdr:rowOff>
        </xdr:from>
        <xdr:to>
          <xdr:col>2</xdr:col>
          <xdr:colOff>76200</xdr:colOff>
          <xdr:row>23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171450</xdr:rowOff>
        </xdr:from>
        <xdr:to>
          <xdr:col>2</xdr:col>
          <xdr:colOff>76200</xdr:colOff>
          <xdr:row>24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25</xdr:row>
          <xdr:rowOff>180975</xdr:rowOff>
        </xdr:from>
        <xdr:to>
          <xdr:col>2</xdr:col>
          <xdr:colOff>76200</xdr:colOff>
          <xdr:row>27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27</xdr:row>
          <xdr:rowOff>180975</xdr:rowOff>
        </xdr:from>
        <xdr:to>
          <xdr:col>2</xdr:col>
          <xdr:colOff>76200</xdr:colOff>
          <xdr:row>29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180975</xdr:rowOff>
        </xdr:from>
        <xdr:to>
          <xdr:col>2</xdr:col>
          <xdr:colOff>76200</xdr:colOff>
          <xdr:row>28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28</xdr:row>
          <xdr:rowOff>180975</xdr:rowOff>
        </xdr:from>
        <xdr:to>
          <xdr:col>2</xdr:col>
          <xdr:colOff>76200</xdr:colOff>
          <xdr:row>30</xdr:row>
          <xdr:rowOff>9525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180975</xdr:rowOff>
        </xdr:from>
        <xdr:to>
          <xdr:col>2</xdr:col>
          <xdr:colOff>76200</xdr:colOff>
          <xdr:row>31</xdr:row>
          <xdr:rowOff>9525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2</xdr:col>
          <xdr:colOff>76200</xdr:colOff>
          <xdr:row>32</xdr:row>
          <xdr:rowOff>9525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180975</xdr:rowOff>
        </xdr:from>
        <xdr:to>
          <xdr:col>2</xdr:col>
          <xdr:colOff>76200</xdr:colOff>
          <xdr:row>33</xdr:row>
          <xdr:rowOff>9525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32</xdr:row>
          <xdr:rowOff>180975</xdr:rowOff>
        </xdr:from>
        <xdr:to>
          <xdr:col>2</xdr:col>
          <xdr:colOff>76200</xdr:colOff>
          <xdr:row>34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33</xdr:row>
          <xdr:rowOff>180975</xdr:rowOff>
        </xdr:from>
        <xdr:to>
          <xdr:col>2</xdr:col>
          <xdr:colOff>76200</xdr:colOff>
          <xdr:row>35</xdr:row>
          <xdr:rowOff>9525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304800</xdr:rowOff>
        </xdr:from>
        <xdr:to>
          <xdr:col>11</xdr:col>
          <xdr:colOff>76200</xdr:colOff>
          <xdr:row>15</xdr:row>
          <xdr:rowOff>9525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11</xdr:col>
          <xdr:colOff>76200</xdr:colOff>
          <xdr:row>16</xdr:row>
          <xdr:rowOff>9525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11</xdr:col>
          <xdr:colOff>76200</xdr:colOff>
          <xdr:row>17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11</xdr:col>
          <xdr:colOff>76200</xdr:colOff>
          <xdr:row>18</xdr:row>
          <xdr:rowOff>9525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11</xdr:col>
          <xdr:colOff>76200</xdr:colOff>
          <xdr:row>19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11</xdr:col>
          <xdr:colOff>76200</xdr:colOff>
          <xdr:row>20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11</xdr:col>
          <xdr:colOff>76200</xdr:colOff>
          <xdr:row>21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20</xdr:row>
          <xdr:rowOff>180975</xdr:rowOff>
        </xdr:from>
        <xdr:to>
          <xdr:col>11</xdr:col>
          <xdr:colOff>76200</xdr:colOff>
          <xdr:row>22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21</xdr:row>
          <xdr:rowOff>180975</xdr:rowOff>
        </xdr:from>
        <xdr:to>
          <xdr:col>11</xdr:col>
          <xdr:colOff>76200</xdr:colOff>
          <xdr:row>23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22</xdr:row>
          <xdr:rowOff>180975</xdr:rowOff>
        </xdr:from>
        <xdr:to>
          <xdr:col>11</xdr:col>
          <xdr:colOff>76200</xdr:colOff>
          <xdr:row>24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23</xdr:row>
          <xdr:rowOff>180975</xdr:rowOff>
        </xdr:from>
        <xdr:to>
          <xdr:col>11</xdr:col>
          <xdr:colOff>76200</xdr:colOff>
          <xdr:row>25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24</xdr:row>
          <xdr:rowOff>180975</xdr:rowOff>
        </xdr:from>
        <xdr:to>
          <xdr:col>11</xdr:col>
          <xdr:colOff>76200</xdr:colOff>
          <xdr:row>26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180975</xdr:rowOff>
        </xdr:from>
        <xdr:to>
          <xdr:col>11</xdr:col>
          <xdr:colOff>76200</xdr:colOff>
          <xdr:row>27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180975</xdr:rowOff>
        </xdr:from>
        <xdr:to>
          <xdr:col>11</xdr:col>
          <xdr:colOff>76200</xdr:colOff>
          <xdr:row>28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27</xdr:row>
          <xdr:rowOff>180975</xdr:rowOff>
        </xdr:from>
        <xdr:to>
          <xdr:col>11</xdr:col>
          <xdr:colOff>76200</xdr:colOff>
          <xdr:row>29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180975</xdr:rowOff>
        </xdr:from>
        <xdr:to>
          <xdr:col>11</xdr:col>
          <xdr:colOff>76200</xdr:colOff>
          <xdr:row>30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180975</xdr:rowOff>
        </xdr:from>
        <xdr:to>
          <xdr:col>11</xdr:col>
          <xdr:colOff>76200</xdr:colOff>
          <xdr:row>31</xdr:row>
          <xdr:rowOff>9525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180975</xdr:rowOff>
        </xdr:from>
        <xdr:to>
          <xdr:col>11</xdr:col>
          <xdr:colOff>76200</xdr:colOff>
          <xdr:row>32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180975</xdr:rowOff>
        </xdr:from>
        <xdr:to>
          <xdr:col>11</xdr:col>
          <xdr:colOff>76200</xdr:colOff>
          <xdr:row>33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180975</xdr:rowOff>
        </xdr:from>
        <xdr:to>
          <xdr:col>11</xdr:col>
          <xdr:colOff>76200</xdr:colOff>
          <xdr:row>34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180975</xdr:rowOff>
        </xdr:from>
        <xdr:to>
          <xdr:col>11</xdr:col>
          <xdr:colOff>76200</xdr:colOff>
          <xdr:row>35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304800</xdr:rowOff>
        </xdr:from>
        <xdr:to>
          <xdr:col>20</xdr:col>
          <xdr:colOff>76200</xdr:colOff>
          <xdr:row>15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20</xdr:col>
          <xdr:colOff>76200</xdr:colOff>
          <xdr:row>16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20</xdr:col>
          <xdr:colOff>76200</xdr:colOff>
          <xdr:row>17</xdr:row>
          <xdr:rowOff>9525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20</xdr:col>
          <xdr:colOff>76200</xdr:colOff>
          <xdr:row>18</xdr:row>
          <xdr:rowOff>9525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20</xdr:col>
          <xdr:colOff>76200</xdr:colOff>
          <xdr:row>19</xdr:row>
          <xdr:rowOff>9525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20</xdr:col>
          <xdr:colOff>76200</xdr:colOff>
          <xdr:row>20</xdr:row>
          <xdr:rowOff>9525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20</xdr:col>
          <xdr:colOff>76200</xdr:colOff>
          <xdr:row>21</xdr:row>
          <xdr:rowOff>9525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20</xdr:row>
          <xdr:rowOff>180975</xdr:rowOff>
        </xdr:from>
        <xdr:to>
          <xdr:col>20</xdr:col>
          <xdr:colOff>76200</xdr:colOff>
          <xdr:row>22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21</xdr:row>
          <xdr:rowOff>180975</xdr:rowOff>
        </xdr:from>
        <xdr:to>
          <xdr:col>20</xdr:col>
          <xdr:colOff>76200</xdr:colOff>
          <xdr:row>23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22</xdr:row>
          <xdr:rowOff>180975</xdr:rowOff>
        </xdr:from>
        <xdr:to>
          <xdr:col>20</xdr:col>
          <xdr:colOff>76200</xdr:colOff>
          <xdr:row>24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23</xdr:row>
          <xdr:rowOff>180975</xdr:rowOff>
        </xdr:from>
        <xdr:to>
          <xdr:col>20</xdr:col>
          <xdr:colOff>76200</xdr:colOff>
          <xdr:row>25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24</xdr:row>
          <xdr:rowOff>180975</xdr:rowOff>
        </xdr:from>
        <xdr:to>
          <xdr:col>20</xdr:col>
          <xdr:colOff>76200</xdr:colOff>
          <xdr:row>26</xdr:row>
          <xdr:rowOff>9525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25</xdr:row>
          <xdr:rowOff>180975</xdr:rowOff>
        </xdr:from>
        <xdr:to>
          <xdr:col>20</xdr:col>
          <xdr:colOff>76200</xdr:colOff>
          <xdr:row>27</xdr:row>
          <xdr:rowOff>9525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26</xdr:row>
          <xdr:rowOff>180975</xdr:rowOff>
        </xdr:from>
        <xdr:to>
          <xdr:col>20</xdr:col>
          <xdr:colOff>76200</xdr:colOff>
          <xdr:row>28</xdr:row>
          <xdr:rowOff>9525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27</xdr:row>
          <xdr:rowOff>180975</xdr:rowOff>
        </xdr:from>
        <xdr:to>
          <xdr:col>20</xdr:col>
          <xdr:colOff>76200</xdr:colOff>
          <xdr:row>29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28</xdr:row>
          <xdr:rowOff>180975</xdr:rowOff>
        </xdr:from>
        <xdr:to>
          <xdr:col>20</xdr:col>
          <xdr:colOff>76200</xdr:colOff>
          <xdr:row>30</xdr:row>
          <xdr:rowOff>9525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29</xdr:row>
          <xdr:rowOff>180975</xdr:rowOff>
        </xdr:from>
        <xdr:to>
          <xdr:col>20</xdr:col>
          <xdr:colOff>76200</xdr:colOff>
          <xdr:row>31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30</xdr:row>
          <xdr:rowOff>180975</xdr:rowOff>
        </xdr:from>
        <xdr:to>
          <xdr:col>20</xdr:col>
          <xdr:colOff>76200</xdr:colOff>
          <xdr:row>32</xdr:row>
          <xdr:rowOff>9525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31</xdr:row>
          <xdr:rowOff>180975</xdr:rowOff>
        </xdr:from>
        <xdr:to>
          <xdr:col>20</xdr:col>
          <xdr:colOff>76200</xdr:colOff>
          <xdr:row>33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32</xdr:row>
          <xdr:rowOff>180975</xdr:rowOff>
        </xdr:from>
        <xdr:to>
          <xdr:col>20</xdr:col>
          <xdr:colOff>76200</xdr:colOff>
          <xdr:row>34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33</xdr:row>
          <xdr:rowOff>171450</xdr:rowOff>
        </xdr:from>
        <xdr:to>
          <xdr:col>20</xdr:col>
          <xdr:colOff>76200</xdr:colOff>
          <xdr:row>35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34</xdr:row>
          <xdr:rowOff>9525</xdr:rowOff>
        </xdr:from>
        <xdr:to>
          <xdr:col>36</xdr:col>
          <xdr:colOff>238125</xdr:colOff>
          <xdr:row>34</xdr:row>
          <xdr:rowOff>180975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复位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123825</xdr:colOff>
          <xdr:row>2</xdr:row>
          <xdr:rowOff>76200</xdr:rowOff>
        </xdr:from>
        <xdr:to>
          <xdr:col>42</xdr:col>
          <xdr:colOff>47625</xdr:colOff>
          <xdr:row>3</xdr:row>
          <xdr:rowOff>171450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清除全部修正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</xdr:row>
          <xdr:rowOff>47625</xdr:rowOff>
        </xdr:from>
        <xdr:to>
          <xdr:col>2</xdr:col>
          <xdr:colOff>609600</xdr:colOff>
          <xdr:row>3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txt卡导出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.xml"/><Relationship Id="rId21" Type="http://schemas.openxmlformats.org/officeDocument/2006/relationships/ctrlProp" Target="../ctrlProps/ctrlProp21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63" Type="http://schemas.openxmlformats.org/officeDocument/2006/relationships/ctrlProp" Target="../ctrlProps/ctrlProp63.xml"/><Relationship Id="rId68" Type="http://schemas.openxmlformats.org/officeDocument/2006/relationships/ctrlProp" Target="../ctrlProps/ctrlProp68.xml"/><Relationship Id="rId7" Type="http://schemas.openxmlformats.org/officeDocument/2006/relationships/ctrlProp" Target="../ctrlProps/ctrlProp7.xml"/><Relationship Id="rId71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3" Type="http://schemas.openxmlformats.org/officeDocument/2006/relationships/ctrlProp" Target="../ctrlProps/ctrlProp53.xml"/><Relationship Id="rId58" Type="http://schemas.openxmlformats.org/officeDocument/2006/relationships/ctrlProp" Target="../ctrlProps/ctrlProp58.xml"/><Relationship Id="rId66" Type="http://schemas.openxmlformats.org/officeDocument/2006/relationships/ctrlProp" Target="../ctrlProps/ctrlProp66.xml"/><Relationship Id="rId5" Type="http://schemas.openxmlformats.org/officeDocument/2006/relationships/ctrlProp" Target="../ctrlProps/ctrlProp5.xml"/><Relationship Id="rId61" Type="http://schemas.openxmlformats.org/officeDocument/2006/relationships/ctrlProp" Target="../ctrlProps/ctrlProp61.xml"/><Relationship Id="rId19" Type="http://schemas.openxmlformats.org/officeDocument/2006/relationships/ctrlProp" Target="../ctrlProps/ctrlProp1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56" Type="http://schemas.openxmlformats.org/officeDocument/2006/relationships/ctrlProp" Target="../ctrlProps/ctrlProp56.xml"/><Relationship Id="rId64" Type="http://schemas.openxmlformats.org/officeDocument/2006/relationships/ctrlProp" Target="../ctrlProps/ctrlProp64.xml"/><Relationship Id="rId69" Type="http://schemas.openxmlformats.org/officeDocument/2006/relationships/ctrlProp" Target="../ctrlProps/ctrlProp69.xml"/><Relationship Id="rId8" Type="http://schemas.openxmlformats.org/officeDocument/2006/relationships/ctrlProp" Target="../ctrlProps/ctrlProp8.xml"/><Relationship Id="rId51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59" Type="http://schemas.openxmlformats.org/officeDocument/2006/relationships/ctrlProp" Target="../ctrlProps/ctrlProp59.xml"/><Relationship Id="rId67" Type="http://schemas.openxmlformats.org/officeDocument/2006/relationships/ctrlProp" Target="../ctrlProps/ctrlProp67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54" Type="http://schemas.openxmlformats.org/officeDocument/2006/relationships/ctrlProp" Target="../ctrlProps/ctrlProp54.xml"/><Relationship Id="rId62" Type="http://schemas.openxmlformats.org/officeDocument/2006/relationships/ctrlProp" Target="../ctrlProps/ctrlProp62.xml"/><Relationship Id="rId70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57" Type="http://schemas.openxmlformats.org/officeDocument/2006/relationships/ctrlProp" Target="../ctrlProps/ctrlProp57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52" Type="http://schemas.openxmlformats.org/officeDocument/2006/relationships/ctrlProp" Target="../ctrlProps/ctrlProp52.xml"/><Relationship Id="rId60" Type="http://schemas.openxmlformats.org/officeDocument/2006/relationships/ctrlProp" Target="../ctrlProps/ctrlProp60.xml"/><Relationship Id="rId65" Type="http://schemas.openxmlformats.org/officeDocument/2006/relationships/ctrlProp" Target="../ctrlProps/ctrlProp6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34" Type="http://schemas.openxmlformats.org/officeDocument/2006/relationships/ctrlProp" Target="../ctrlProps/ctrlProp34.xml"/><Relationship Id="rId50" Type="http://schemas.openxmlformats.org/officeDocument/2006/relationships/ctrlProp" Target="../ctrlProps/ctrlProp50.xml"/><Relationship Id="rId55" Type="http://schemas.openxmlformats.org/officeDocument/2006/relationships/ctrlProp" Target="../ctrlProps/ctrlProp5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R69"/>
  <sheetViews>
    <sheetView showGridLines="0" tabSelected="1" zoomScale="85" zoomScaleNormal="85" workbookViewId="0">
      <selection activeCell="D3" sqref="D3:I3"/>
    </sheetView>
  </sheetViews>
  <sheetFormatPr defaultColWidth="3.375" defaultRowHeight="15" customHeight="1" x14ac:dyDescent="0.15"/>
  <cols>
    <col min="1" max="28" width="3.375" style="101"/>
    <col min="29" max="29" width="3.375" style="101" customWidth="1"/>
    <col min="30" max="31" width="3.375" style="101"/>
    <col min="32" max="32" width="3.375" style="101" customWidth="1"/>
    <col min="33" max="16384" width="3.375" style="101"/>
  </cols>
  <sheetData>
    <row r="1" spans="2:44" ht="7.5" customHeight="1" thickBot="1" x14ac:dyDescent="0.2"/>
    <row r="2" spans="2:44" s="110" customFormat="1" ht="30" customHeight="1" x14ac:dyDescent="0.15">
      <c r="B2" s="364" t="s">
        <v>124</v>
      </c>
      <c r="C2" s="365"/>
      <c r="D2" s="365"/>
      <c r="E2" s="365"/>
      <c r="F2" s="365"/>
      <c r="G2" s="365"/>
      <c r="H2" s="365"/>
      <c r="I2" s="366"/>
      <c r="J2" s="367" t="s">
        <v>326</v>
      </c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368"/>
      <c r="AF2" s="369"/>
      <c r="AG2" s="370"/>
    </row>
    <row r="3" spans="2:44" ht="15" customHeight="1" x14ac:dyDescent="0.15">
      <c r="B3" s="371" t="s">
        <v>327</v>
      </c>
      <c r="C3" s="372"/>
      <c r="D3" s="165"/>
      <c r="E3" s="165"/>
      <c r="F3" s="165"/>
      <c r="G3" s="165"/>
      <c r="H3" s="165"/>
      <c r="I3" s="166"/>
      <c r="J3" s="373" t="s">
        <v>328</v>
      </c>
      <c r="K3" s="372"/>
      <c r="L3" s="372"/>
      <c r="M3" s="374"/>
      <c r="N3" s="375" t="s">
        <v>329</v>
      </c>
      <c r="O3" s="376"/>
      <c r="P3" s="376"/>
      <c r="Q3" s="377">
        <f>5*K4</f>
        <v>30</v>
      </c>
      <c r="R3" s="62">
        <f>Q3+Q4</f>
        <v>30</v>
      </c>
      <c r="S3" s="62"/>
      <c r="T3" s="376" t="s">
        <v>330</v>
      </c>
      <c r="U3" s="376"/>
      <c r="V3" s="376"/>
      <c r="W3" s="377">
        <f>5*K7</f>
        <v>45</v>
      </c>
      <c r="X3" s="62">
        <f>W3+W4</f>
        <v>45</v>
      </c>
      <c r="Y3" s="62"/>
      <c r="Z3" s="376" t="s">
        <v>331</v>
      </c>
      <c r="AA3" s="376"/>
      <c r="AB3" s="376"/>
      <c r="AC3" s="377">
        <f>5*M6</f>
        <v>60</v>
      </c>
      <c r="AD3" s="62">
        <f>AC3+AC4</f>
        <v>60</v>
      </c>
      <c r="AE3" s="74"/>
      <c r="AF3" s="378"/>
      <c r="AG3" s="379"/>
    </row>
    <row r="4" spans="2:44" ht="15" customHeight="1" x14ac:dyDescent="0.15">
      <c r="B4" s="371" t="s">
        <v>332</v>
      </c>
      <c r="C4" s="372"/>
      <c r="D4" s="165"/>
      <c r="E4" s="165"/>
      <c r="F4" s="165"/>
      <c r="G4" s="165"/>
      <c r="H4" s="165"/>
      <c r="I4" s="166"/>
      <c r="J4" s="380" t="s">
        <v>93</v>
      </c>
      <c r="K4" s="381">
        <v>6</v>
      </c>
      <c r="L4" s="382" t="s">
        <v>94</v>
      </c>
      <c r="M4" s="383">
        <v>10</v>
      </c>
      <c r="N4" s="375"/>
      <c r="O4" s="376"/>
      <c r="P4" s="376"/>
      <c r="Q4" s="384"/>
      <c r="R4" s="62"/>
      <c r="S4" s="62"/>
      <c r="T4" s="376"/>
      <c r="U4" s="376"/>
      <c r="V4" s="376"/>
      <c r="W4" s="384"/>
      <c r="X4" s="62"/>
      <c r="Y4" s="62"/>
      <c r="Z4" s="376"/>
      <c r="AA4" s="376"/>
      <c r="AB4" s="376"/>
      <c r="AC4" s="384"/>
      <c r="AD4" s="62"/>
      <c r="AE4" s="74"/>
      <c r="AF4" s="378"/>
      <c r="AG4" s="379"/>
    </row>
    <row r="5" spans="2:44" ht="15" customHeight="1" x14ac:dyDescent="0.15">
      <c r="B5" s="371" t="s">
        <v>333</v>
      </c>
      <c r="C5" s="372"/>
      <c r="D5" s="165" t="s">
        <v>334</v>
      </c>
      <c r="E5" s="165"/>
      <c r="F5" s="165"/>
      <c r="G5" s="165"/>
      <c r="H5" s="165"/>
      <c r="I5" s="166"/>
      <c r="J5" s="380" t="s">
        <v>95</v>
      </c>
      <c r="K5" s="381">
        <v>7</v>
      </c>
      <c r="L5" s="385" t="s">
        <v>96</v>
      </c>
      <c r="M5" s="383">
        <v>11</v>
      </c>
      <c r="N5" s="375" t="s">
        <v>335</v>
      </c>
      <c r="O5" s="376"/>
      <c r="P5" s="376"/>
      <c r="Q5" s="377">
        <f>5*K5</f>
        <v>35</v>
      </c>
      <c r="R5" s="62">
        <f>Q5+Q6</f>
        <v>35</v>
      </c>
      <c r="S5" s="62"/>
      <c r="T5" s="376" t="s">
        <v>336</v>
      </c>
      <c r="U5" s="376"/>
      <c r="V5" s="376"/>
      <c r="W5" s="377">
        <f>5*M4</f>
        <v>50</v>
      </c>
      <c r="X5" s="62">
        <f>W5+W6</f>
        <v>50</v>
      </c>
      <c r="Y5" s="62"/>
      <c r="Z5" s="386" t="s">
        <v>337</v>
      </c>
      <c r="AA5" s="387"/>
      <c r="AB5" s="388"/>
      <c r="AC5" s="377">
        <f>5*M7</f>
        <v>65</v>
      </c>
      <c r="AD5" s="62">
        <f>AC5+AC6</f>
        <v>65</v>
      </c>
      <c r="AE5" s="74"/>
      <c r="AF5" s="275" t="s">
        <v>97</v>
      </c>
      <c r="AG5" s="389"/>
    </row>
    <row r="6" spans="2:44" ht="15" customHeight="1" x14ac:dyDescent="0.15">
      <c r="B6" s="371" t="s">
        <v>338</v>
      </c>
      <c r="C6" s="372"/>
      <c r="D6" s="390">
        <v>20</v>
      </c>
      <c r="E6" s="391"/>
      <c r="F6" s="181" t="s">
        <v>339</v>
      </c>
      <c r="G6" s="171"/>
      <c r="H6" s="390"/>
      <c r="I6" s="392"/>
      <c r="J6" s="393" t="s">
        <v>98</v>
      </c>
      <c r="K6" s="381">
        <v>8</v>
      </c>
      <c r="L6" s="382" t="s">
        <v>99</v>
      </c>
      <c r="M6" s="383">
        <v>12</v>
      </c>
      <c r="N6" s="375"/>
      <c r="O6" s="376"/>
      <c r="P6" s="376"/>
      <c r="Q6" s="384"/>
      <c r="R6" s="62"/>
      <c r="S6" s="62"/>
      <c r="T6" s="376"/>
      <c r="U6" s="376"/>
      <c r="V6" s="376"/>
      <c r="W6" s="384"/>
      <c r="X6" s="62"/>
      <c r="Y6" s="62"/>
      <c r="Z6" s="394"/>
      <c r="AA6" s="395"/>
      <c r="AB6" s="396"/>
      <c r="AC6" s="384"/>
      <c r="AD6" s="62"/>
      <c r="AE6" s="74"/>
      <c r="AF6" s="397">
        <f>SUM(Q3,Q5,Q7,W3,W5,W7,AC3,AC5)</f>
        <v>380</v>
      </c>
      <c r="AG6" s="398"/>
      <c r="AI6" s="399" t="s">
        <v>340</v>
      </c>
      <c r="AJ6" s="400"/>
      <c r="AK6" s="400"/>
      <c r="AL6" s="400"/>
      <c r="AM6" s="400"/>
      <c r="AN6" s="400"/>
      <c r="AO6" s="400"/>
      <c r="AP6" s="400"/>
      <c r="AQ6" s="400"/>
      <c r="AR6" s="400"/>
    </row>
    <row r="7" spans="2:44" ht="15" customHeight="1" x14ac:dyDescent="0.15">
      <c r="B7" s="371" t="s">
        <v>100</v>
      </c>
      <c r="C7" s="372"/>
      <c r="D7" s="165" t="s">
        <v>341</v>
      </c>
      <c r="E7" s="165"/>
      <c r="F7" s="165"/>
      <c r="G7" s="165"/>
      <c r="H7" s="165"/>
      <c r="I7" s="166"/>
      <c r="J7" s="380" t="s">
        <v>101</v>
      </c>
      <c r="K7" s="381">
        <v>9</v>
      </c>
      <c r="L7" s="385" t="s">
        <v>102</v>
      </c>
      <c r="M7" s="383">
        <v>13</v>
      </c>
      <c r="N7" s="375" t="s">
        <v>342</v>
      </c>
      <c r="O7" s="376"/>
      <c r="P7" s="376"/>
      <c r="Q7" s="377">
        <f>5*K6</f>
        <v>40</v>
      </c>
      <c r="R7" s="62">
        <f>Q7+Q8</f>
        <v>40</v>
      </c>
      <c r="S7" s="62"/>
      <c r="T7" s="141" t="s">
        <v>343</v>
      </c>
      <c r="U7" s="372"/>
      <c r="V7" s="372"/>
      <c r="W7" s="377">
        <f>5*M5</f>
        <v>55</v>
      </c>
      <c r="X7" s="62">
        <f>W7+W8</f>
        <v>55</v>
      </c>
      <c r="Y7" s="62"/>
      <c r="Z7" s="401" t="s">
        <v>344</v>
      </c>
      <c r="AA7" s="402"/>
      <c r="AB7" s="403"/>
      <c r="AC7" s="404">
        <f>IF(AND(str&lt;siz,dex&lt;siz),7,IF(AND(str&gt;siz,dex&gt;siz),9,8))</f>
        <v>8</v>
      </c>
      <c r="AD7" s="62">
        <f>AC7+AC8</f>
        <v>8</v>
      </c>
      <c r="AE7" s="74"/>
      <c r="AF7" s="378"/>
      <c r="AG7" s="379"/>
      <c r="AI7" s="400"/>
      <c r="AJ7" s="400"/>
      <c r="AK7" s="400"/>
      <c r="AL7" s="400"/>
      <c r="AM7" s="400"/>
      <c r="AN7" s="400"/>
      <c r="AO7" s="400"/>
      <c r="AP7" s="400"/>
      <c r="AQ7" s="400"/>
      <c r="AR7" s="400"/>
    </row>
    <row r="8" spans="2:44" s="152" customFormat="1" ht="15" customHeight="1" thickBot="1" x14ac:dyDescent="0.2">
      <c r="B8" s="405" t="s">
        <v>345</v>
      </c>
      <c r="C8" s="406"/>
      <c r="D8" s="407" t="str">
        <f>LOOKUP(age,{0,15,20,40,50,60,70,80,90},{"自动计算MOV","STR SIZ EDU各-5，两次幸运取高","EDU升级1次","EDU升级2次，STR CON DEX共-5，APP-5","EDU升级3次，STR CON DEX共-10，APP-10","EDU升级4次，STR CON DEX共-20，APP-15","EDU升级4次，STR CON DEX共-40，APP-20","EDU升级4次，STR CON DEX共-80，APP-25","太老了"})</f>
        <v>EDU升级1次</v>
      </c>
      <c r="E8" s="408"/>
      <c r="F8" s="408"/>
      <c r="G8" s="408"/>
      <c r="H8" s="408"/>
      <c r="I8" s="409"/>
      <c r="J8" s="410" t="s">
        <v>346</v>
      </c>
      <c r="K8" s="411"/>
      <c r="L8" s="411"/>
      <c r="M8" s="412">
        <v>14</v>
      </c>
      <c r="N8" s="413"/>
      <c r="O8" s="414"/>
      <c r="P8" s="414"/>
      <c r="Q8" s="415"/>
      <c r="R8" s="63"/>
      <c r="S8" s="63"/>
      <c r="T8" s="372"/>
      <c r="U8" s="372"/>
      <c r="V8" s="372"/>
      <c r="W8" s="415"/>
      <c r="X8" s="63"/>
      <c r="Y8" s="63"/>
      <c r="Z8" s="416"/>
      <c r="AA8" s="417"/>
      <c r="AB8" s="418"/>
      <c r="AC8" s="419">
        <f>-1*LOOKUP(age,{0,40,50,60,70,80},{0,1,2,3,4,5})</f>
        <v>0</v>
      </c>
      <c r="AD8" s="63"/>
      <c r="AE8" s="75"/>
      <c r="AF8" s="378"/>
      <c r="AG8" s="379"/>
      <c r="AI8" s="420" t="s">
        <v>112</v>
      </c>
      <c r="AJ8" s="400"/>
      <c r="AK8" s="400"/>
      <c r="AL8" s="400"/>
      <c r="AM8" s="400"/>
      <c r="AN8" s="400"/>
      <c r="AO8" s="400"/>
      <c r="AP8" s="400"/>
      <c r="AQ8" s="400"/>
      <c r="AR8" s="400"/>
    </row>
    <row r="9" spans="2:44" ht="15" customHeight="1" thickTop="1" x14ac:dyDescent="0.15">
      <c r="B9" s="421"/>
      <c r="C9" s="403"/>
      <c r="D9" s="422"/>
      <c r="E9" s="423"/>
      <c r="F9" s="423"/>
      <c r="G9" s="423"/>
      <c r="H9" s="423"/>
      <c r="I9" s="424"/>
      <c r="J9" s="425" t="s">
        <v>347</v>
      </c>
      <c r="K9" s="161"/>
      <c r="L9" s="64">
        <f>maxhp</f>
        <v>7</v>
      </c>
      <c r="M9" s="64"/>
      <c r="N9" s="158" t="s">
        <v>348</v>
      </c>
      <c r="O9" s="161"/>
      <c r="P9" s="64">
        <f>maxmp</f>
        <v>12</v>
      </c>
      <c r="Q9" s="64"/>
      <c r="R9" s="158" t="s">
        <v>349</v>
      </c>
      <c r="S9" s="161"/>
      <c r="T9" s="66" t="str">
        <f>pow-I27&amp;"/"&amp;(99-cthmy)</f>
        <v>60/99</v>
      </c>
      <c r="U9" s="67"/>
      <c r="V9" s="67"/>
      <c r="W9" s="68"/>
      <c r="X9" s="158" t="s">
        <v>103</v>
      </c>
      <c r="Y9" s="161"/>
      <c r="Z9" s="64">
        <f>5*M8</f>
        <v>70</v>
      </c>
      <c r="AA9" s="64"/>
      <c r="AB9" s="426" t="s">
        <v>114</v>
      </c>
      <c r="AC9" s="161"/>
      <c r="AD9" s="162" t="str">
        <f>LOOKUP(AD10,{-2,-1,0,1,2},{"-2","-1","±0","+1D4","+1D6"})</f>
        <v>-1</v>
      </c>
      <c r="AE9" s="427"/>
      <c r="AF9" s="378"/>
      <c r="AG9" s="379"/>
      <c r="AI9" s="420" t="s">
        <v>350</v>
      </c>
      <c r="AJ9" s="400"/>
      <c r="AK9" s="400"/>
      <c r="AL9" s="400"/>
      <c r="AM9" s="400"/>
      <c r="AN9" s="400"/>
      <c r="AO9" s="400"/>
      <c r="AP9" s="400"/>
      <c r="AQ9" s="400"/>
      <c r="AR9" s="400"/>
    </row>
    <row r="10" spans="2:44" ht="15" customHeight="1" x14ac:dyDescent="0.15">
      <c r="B10" s="428"/>
      <c r="C10" s="429"/>
      <c r="D10" s="430"/>
      <c r="E10" s="431"/>
      <c r="F10" s="431"/>
      <c r="G10" s="431"/>
      <c r="H10" s="431"/>
      <c r="I10" s="432"/>
      <c r="J10" s="373"/>
      <c r="K10" s="372"/>
      <c r="L10" s="65"/>
      <c r="M10" s="65"/>
      <c r="N10" s="372"/>
      <c r="O10" s="372"/>
      <c r="P10" s="65"/>
      <c r="Q10" s="65"/>
      <c r="R10" s="372"/>
      <c r="S10" s="372"/>
      <c r="T10" s="69"/>
      <c r="U10" s="70"/>
      <c r="V10" s="70"/>
      <c r="W10" s="71"/>
      <c r="X10" s="372"/>
      <c r="Y10" s="372"/>
      <c r="Z10" s="65"/>
      <c r="AA10" s="65"/>
      <c r="AB10" s="373" t="s">
        <v>351</v>
      </c>
      <c r="AC10" s="372"/>
      <c r="AD10" s="172">
        <f>LOOKUP(str+siz,{2,65,85,125,165,198},{-2,-1,0,1,2,"溢出"})</f>
        <v>-1</v>
      </c>
      <c r="AE10" s="433"/>
      <c r="AF10" s="434"/>
      <c r="AG10" s="435"/>
      <c r="AI10" s="420" t="s">
        <v>352</v>
      </c>
      <c r="AJ10" s="400"/>
      <c r="AK10" s="400"/>
      <c r="AL10" s="400"/>
      <c r="AM10" s="400"/>
      <c r="AN10" s="400"/>
      <c r="AO10" s="400"/>
      <c r="AP10" s="400"/>
      <c r="AQ10" s="400"/>
      <c r="AR10" s="400"/>
    </row>
    <row r="11" spans="2:44" s="191" customFormat="1" ht="7.5" customHeight="1" thickBot="1" x14ac:dyDescent="0.2">
      <c r="B11" s="192"/>
      <c r="C11" s="193"/>
      <c r="D11" s="193"/>
      <c r="E11" s="193"/>
      <c r="F11" s="193"/>
      <c r="G11" s="193"/>
      <c r="H11" s="194"/>
      <c r="I11" s="194"/>
      <c r="J11" s="194"/>
      <c r="K11" s="194"/>
      <c r="L11" s="194"/>
      <c r="M11" s="194"/>
      <c r="N11" s="194"/>
      <c r="O11" s="195"/>
      <c r="P11" s="195"/>
      <c r="Q11" s="195"/>
      <c r="R11" s="195"/>
      <c r="S11" s="195"/>
      <c r="T11" s="195"/>
      <c r="U11" s="195"/>
      <c r="V11" s="194"/>
      <c r="W11" s="194"/>
      <c r="X11" s="194"/>
      <c r="Y11" s="194"/>
      <c r="Z11" s="194"/>
      <c r="AA11" s="194"/>
      <c r="AB11" s="436"/>
      <c r="AC11" s="194"/>
      <c r="AD11" s="194"/>
      <c r="AE11" s="194"/>
      <c r="AF11" s="194"/>
      <c r="AG11" s="437"/>
    </row>
    <row r="12" spans="2:44" ht="24.95" customHeight="1" x14ac:dyDescent="0.15">
      <c r="B12" s="72" t="str">
        <f>"技能　本职："&amp;D5</f>
        <v>技能　本职：（待定）</v>
      </c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438">
        <f>SUM(P15:P35,X15:X35,AF15:AF35)</f>
        <v>0</v>
      </c>
      <c r="AG12" s="439"/>
      <c r="AI12" s="440" t="s">
        <v>353</v>
      </c>
    </row>
    <row r="13" spans="2:44" ht="15" customHeight="1" x14ac:dyDescent="0.15">
      <c r="B13" s="371" t="s">
        <v>354</v>
      </c>
      <c r="C13" s="372"/>
      <c r="D13" s="372"/>
      <c r="E13" s="372"/>
      <c r="F13" s="172">
        <f>IF(F14=0,VLOOKUP(D5,classes,2,FALSE),F14)</f>
        <v>190</v>
      </c>
      <c r="G13" s="172"/>
      <c r="H13" s="172"/>
      <c r="I13" s="441"/>
      <c r="J13" s="373" t="s">
        <v>355</v>
      </c>
      <c r="K13" s="372"/>
      <c r="L13" s="372"/>
      <c r="M13" s="442" t="s">
        <v>356</v>
      </c>
      <c r="N13" s="442" t="s">
        <v>357</v>
      </c>
      <c r="O13" s="442" t="s">
        <v>358</v>
      </c>
      <c r="P13" s="442" t="s">
        <v>359</v>
      </c>
      <c r="Q13" s="443" t="s">
        <v>360</v>
      </c>
      <c r="R13" s="373" t="s">
        <v>355</v>
      </c>
      <c r="S13" s="372"/>
      <c r="T13" s="372"/>
      <c r="U13" s="442" t="s">
        <v>361</v>
      </c>
      <c r="V13" s="442" t="s">
        <v>362</v>
      </c>
      <c r="W13" s="442" t="s">
        <v>363</v>
      </c>
      <c r="X13" s="442" t="s">
        <v>364</v>
      </c>
      <c r="Y13" s="444" t="s">
        <v>97</v>
      </c>
      <c r="Z13" s="373" t="s">
        <v>365</v>
      </c>
      <c r="AA13" s="372"/>
      <c r="AB13" s="372"/>
      <c r="AC13" s="442" t="s">
        <v>366</v>
      </c>
      <c r="AD13" s="442" t="s">
        <v>362</v>
      </c>
      <c r="AE13" s="442" t="s">
        <v>363</v>
      </c>
      <c r="AF13" s="442" t="s">
        <v>364</v>
      </c>
      <c r="AG13" s="445" t="s">
        <v>367</v>
      </c>
      <c r="AI13" s="440" t="s">
        <v>368</v>
      </c>
    </row>
    <row r="14" spans="2:44" ht="15" customHeight="1" x14ac:dyDescent="0.15">
      <c r="B14" s="371" t="s">
        <v>369</v>
      </c>
      <c r="C14" s="372"/>
      <c r="D14" s="372"/>
      <c r="E14" s="372"/>
      <c r="F14" s="446">
        <f>edu*0+str*0+dex*0+app*0+pow*0</f>
        <v>0</v>
      </c>
      <c r="G14" s="446"/>
      <c r="H14" s="446"/>
      <c r="I14" s="447"/>
      <c r="J14" s="373"/>
      <c r="K14" s="372"/>
      <c r="L14" s="372"/>
      <c r="M14" s="442"/>
      <c r="N14" s="442"/>
      <c r="O14" s="442"/>
      <c r="P14" s="442"/>
      <c r="Q14" s="443"/>
      <c r="R14" s="373"/>
      <c r="S14" s="372"/>
      <c r="T14" s="372"/>
      <c r="U14" s="442"/>
      <c r="V14" s="442"/>
      <c r="W14" s="442"/>
      <c r="X14" s="442"/>
      <c r="Y14" s="444"/>
      <c r="Z14" s="373"/>
      <c r="AA14" s="372"/>
      <c r="AB14" s="372"/>
      <c r="AC14" s="442"/>
      <c r="AD14" s="442"/>
      <c r="AE14" s="442"/>
      <c r="AF14" s="442"/>
      <c r="AG14" s="445"/>
      <c r="AI14" s="440" t="s">
        <v>370</v>
      </c>
    </row>
    <row r="15" spans="2:44" ht="15" customHeight="1" x14ac:dyDescent="0.15">
      <c r="B15" s="371" t="s">
        <v>371</v>
      </c>
      <c r="C15" s="372"/>
      <c r="D15" s="372"/>
      <c r="E15" s="372"/>
      <c r="F15" s="172">
        <f>F13-SUM(N15:N35,V15:V35,AD15:AD35)</f>
        <v>190</v>
      </c>
      <c r="G15" s="172"/>
      <c r="H15" s="172"/>
      <c r="I15" s="441"/>
      <c r="J15" s="448" t="s">
        <v>372</v>
      </c>
      <c r="K15" s="449"/>
      <c r="L15" s="449"/>
      <c r="M15" s="450">
        <v>5</v>
      </c>
      <c r="N15" s="215"/>
      <c r="O15" s="215"/>
      <c r="P15" s="451"/>
      <c r="Q15" s="452">
        <f t="shared" ref="Q15:Q23" si="0">SUM(M15:P15)</f>
        <v>5</v>
      </c>
      <c r="R15" s="453" t="s">
        <v>373</v>
      </c>
      <c r="S15" s="454"/>
      <c r="T15" s="454"/>
      <c r="U15" s="232">
        <v>1</v>
      </c>
      <c r="V15" s="232"/>
      <c r="W15" s="232"/>
      <c r="X15" s="455"/>
      <c r="Y15" s="456">
        <f t="shared" ref="Y15:Y35" si="1">SUM(U15:X15)</f>
        <v>1</v>
      </c>
      <c r="Z15" s="453" t="s">
        <v>374</v>
      </c>
      <c r="AA15" s="454"/>
      <c r="AB15" s="454"/>
      <c r="AC15" s="457">
        <v>1</v>
      </c>
      <c r="AD15" s="232"/>
      <c r="AE15" s="232"/>
      <c r="AF15" s="455"/>
      <c r="AG15" s="458">
        <f>SUM(AC15:AF15)</f>
        <v>1</v>
      </c>
      <c r="AI15" s="440"/>
    </row>
    <row r="16" spans="2:44" ht="15" customHeight="1" x14ac:dyDescent="0.15">
      <c r="B16" s="371" t="s">
        <v>375</v>
      </c>
      <c r="C16" s="372"/>
      <c r="D16" s="372"/>
      <c r="E16" s="372"/>
      <c r="F16" s="172">
        <f>int*2</f>
        <v>110</v>
      </c>
      <c r="G16" s="172"/>
      <c r="H16" s="172"/>
      <c r="I16" s="441"/>
      <c r="J16" s="459" t="s">
        <v>376</v>
      </c>
      <c r="K16" s="460"/>
      <c r="L16" s="460"/>
      <c r="M16" s="457">
        <v>5</v>
      </c>
      <c r="N16" s="232"/>
      <c r="O16" s="232"/>
      <c r="P16" s="455"/>
      <c r="Q16" s="461">
        <f t="shared" si="0"/>
        <v>5</v>
      </c>
      <c r="R16" s="459" t="s">
        <v>377</v>
      </c>
      <c r="S16" s="460"/>
      <c r="T16" s="460"/>
      <c r="U16" s="457">
        <v>30</v>
      </c>
      <c r="V16" s="232"/>
      <c r="W16" s="232"/>
      <c r="X16" s="455"/>
      <c r="Y16" s="456">
        <f t="shared" si="1"/>
        <v>30</v>
      </c>
      <c r="Z16" s="459" t="s">
        <v>378</v>
      </c>
      <c r="AA16" s="460"/>
      <c r="AB16" s="460"/>
      <c r="AC16" s="457">
        <v>10</v>
      </c>
      <c r="AD16" s="232"/>
      <c r="AE16" s="232"/>
      <c r="AF16" s="455"/>
      <c r="AG16" s="458">
        <f>SUM(AC16:AF16)</f>
        <v>10</v>
      </c>
      <c r="AI16" s="440"/>
    </row>
    <row r="17" spans="2:35" ht="15" customHeight="1" thickBot="1" x14ac:dyDescent="0.2">
      <c r="B17" s="462" t="s">
        <v>379</v>
      </c>
      <c r="C17" s="463"/>
      <c r="D17" s="463"/>
      <c r="E17" s="463"/>
      <c r="F17" s="464">
        <f>F16-SUM(O15:O35,W15:W35,AE15:AE35)</f>
        <v>110</v>
      </c>
      <c r="G17" s="464"/>
      <c r="H17" s="464"/>
      <c r="I17" s="465"/>
      <c r="J17" s="459" t="s">
        <v>380</v>
      </c>
      <c r="K17" s="460"/>
      <c r="L17" s="460"/>
      <c r="M17" s="457">
        <v>1</v>
      </c>
      <c r="N17" s="232"/>
      <c r="O17" s="232"/>
      <c r="P17" s="455"/>
      <c r="Q17" s="461">
        <f t="shared" si="0"/>
        <v>1</v>
      </c>
      <c r="R17" s="459" t="s">
        <v>381</v>
      </c>
      <c r="S17" s="460"/>
      <c r="T17" s="460"/>
      <c r="U17" s="457">
        <v>5</v>
      </c>
      <c r="V17" s="232"/>
      <c r="W17" s="232"/>
      <c r="X17" s="455"/>
      <c r="Y17" s="456">
        <f t="shared" si="1"/>
        <v>5</v>
      </c>
      <c r="Z17" s="459" t="s">
        <v>104</v>
      </c>
      <c r="AA17" s="460"/>
      <c r="AB17" s="460"/>
      <c r="AC17" s="457">
        <v>5</v>
      </c>
      <c r="AD17" s="232"/>
      <c r="AE17" s="232"/>
      <c r="AF17" s="455"/>
      <c r="AG17" s="458">
        <f>SUM(AC17:AF17)</f>
        <v>5</v>
      </c>
      <c r="AI17" s="399"/>
    </row>
    <row r="18" spans="2:35" ht="15" customHeight="1" thickTop="1" x14ac:dyDescent="0.15">
      <c r="B18" s="466" t="s">
        <v>382</v>
      </c>
      <c r="C18" s="467"/>
      <c r="D18" s="467"/>
      <c r="E18" s="468"/>
      <c r="F18" s="467" t="s">
        <v>383</v>
      </c>
      <c r="G18" s="467"/>
      <c r="H18" s="467"/>
      <c r="I18" s="468"/>
      <c r="J18" s="459" t="s">
        <v>384</v>
      </c>
      <c r="K18" s="460"/>
      <c r="L18" s="460"/>
      <c r="M18" s="457">
        <v>5</v>
      </c>
      <c r="N18" s="232"/>
      <c r="O18" s="232"/>
      <c r="P18" s="455"/>
      <c r="Q18" s="461">
        <f t="shared" si="0"/>
        <v>5</v>
      </c>
      <c r="R18" s="459" t="s">
        <v>385</v>
      </c>
      <c r="S18" s="460"/>
      <c r="T18" s="460"/>
      <c r="U18" s="457">
        <v>15</v>
      </c>
      <c r="V18" s="232"/>
      <c r="W18" s="232"/>
      <c r="X18" s="455"/>
      <c r="Y18" s="456">
        <f t="shared" si="1"/>
        <v>15</v>
      </c>
      <c r="Z18" s="469" t="s">
        <v>386</v>
      </c>
      <c r="AA18" s="470"/>
      <c r="AB18" s="470"/>
      <c r="AC18" s="471">
        <v>1</v>
      </c>
      <c r="AD18" s="232"/>
      <c r="AE18" s="232"/>
      <c r="AF18" s="455"/>
      <c r="AG18" s="458">
        <f t="shared" ref="AG18:AG35" si="2">SUM(AC18:AF18)</f>
        <v>1</v>
      </c>
    </row>
    <row r="19" spans="2:35" ht="15" customHeight="1" x14ac:dyDescent="0.15">
      <c r="B19" s="472" t="str">
        <f>VLOOKUP($D$5,classes,5,FALSE)</f>
        <v>自选</v>
      </c>
      <c r="C19" s="473"/>
      <c r="D19" s="473"/>
      <c r="E19" s="474"/>
      <c r="F19" s="473" t="str">
        <f>VLOOKUP(D5,classes,3,FALSE)&amp;"-"&amp;VLOOKUP(D5,classes,4,FALSE)&amp;"(当前"&amp;crd&amp;")"</f>
        <v>0-99(当前0)</v>
      </c>
      <c r="G19" s="473"/>
      <c r="H19" s="473"/>
      <c r="I19" s="474"/>
      <c r="J19" s="459" t="s">
        <v>387</v>
      </c>
      <c r="K19" s="460"/>
      <c r="L19" s="460"/>
      <c r="M19" s="457">
        <v>1</v>
      </c>
      <c r="N19" s="232"/>
      <c r="O19" s="232"/>
      <c r="P19" s="455"/>
      <c r="Q19" s="461">
        <f t="shared" si="0"/>
        <v>1</v>
      </c>
      <c r="R19" s="459" t="s">
        <v>388</v>
      </c>
      <c r="S19" s="460"/>
      <c r="T19" s="460"/>
      <c r="U19" s="457">
        <v>20</v>
      </c>
      <c r="V19" s="232"/>
      <c r="W19" s="232"/>
      <c r="X19" s="455"/>
      <c r="Y19" s="456">
        <f t="shared" si="1"/>
        <v>20</v>
      </c>
      <c r="Z19" s="469" t="s">
        <v>389</v>
      </c>
      <c r="AA19" s="470"/>
      <c r="AB19" s="470"/>
      <c r="AC19" s="471">
        <v>1</v>
      </c>
      <c r="AD19" s="232"/>
      <c r="AE19" s="232"/>
      <c r="AF19" s="455"/>
      <c r="AG19" s="458">
        <f t="shared" si="2"/>
        <v>1</v>
      </c>
    </row>
    <row r="20" spans="2:35" ht="15" customHeight="1" x14ac:dyDescent="0.15">
      <c r="B20" s="472" t="str">
        <f>VLOOKUP($D$5,classes,6,FALSE)</f>
        <v>自选</v>
      </c>
      <c r="C20" s="473"/>
      <c r="D20" s="473"/>
      <c r="E20" s="474"/>
      <c r="F20" s="276" t="s">
        <v>390</v>
      </c>
      <c r="G20" s="276"/>
      <c r="H20" s="276"/>
      <c r="I20" s="475"/>
      <c r="J20" s="476" t="s">
        <v>391</v>
      </c>
      <c r="K20" s="477"/>
      <c r="L20" s="477"/>
      <c r="M20" s="457">
        <v>5</v>
      </c>
      <c r="N20" s="232"/>
      <c r="O20" s="232"/>
      <c r="P20" s="455"/>
      <c r="Q20" s="461">
        <f t="shared" si="0"/>
        <v>5</v>
      </c>
      <c r="R20" s="453" t="s">
        <v>392</v>
      </c>
      <c r="S20" s="454"/>
      <c r="T20" s="454"/>
      <c r="U20" s="457">
        <v>1</v>
      </c>
      <c r="V20" s="232"/>
      <c r="W20" s="232"/>
      <c r="X20" s="455">
        <v>0</v>
      </c>
      <c r="Y20" s="456">
        <f t="shared" si="1"/>
        <v>1</v>
      </c>
      <c r="Z20" s="469" t="s">
        <v>386</v>
      </c>
      <c r="AA20" s="470"/>
      <c r="AB20" s="470"/>
      <c r="AC20" s="471">
        <v>1</v>
      </c>
      <c r="AD20" s="232"/>
      <c r="AE20" s="232"/>
      <c r="AF20" s="455"/>
      <c r="AG20" s="458">
        <f t="shared" si="2"/>
        <v>1</v>
      </c>
    </row>
    <row r="21" spans="2:35" ht="15" customHeight="1" x14ac:dyDescent="0.15">
      <c r="B21" s="472" t="str">
        <f>VLOOKUP($D$5,classes,7,FALSE)</f>
        <v>自选</v>
      </c>
      <c r="C21" s="473"/>
      <c r="D21" s="473"/>
      <c r="E21" s="474"/>
      <c r="F21" s="478">
        <f>IF(VLOOKUP($D$5,classes,13,FALSE)=1,"社交自选：魅惑/话术/恐吓/说服",VLOOKUP($D$5,classes,13,FALSE))</f>
        <v>0</v>
      </c>
      <c r="G21" s="478"/>
      <c r="H21" s="478"/>
      <c r="I21" s="479"/>
      <c r="J21" s="476" t="s">
        <v>393</v>
      </c>
      <c r="K21" s="477"/>
      <c r="L21" s="477"/>
      <c r="M21" s="457">
        <v>5</v>
      </c>
      <c r="N21" s="232"/>
      <c r="O21" s="232"/>
      <c r="P21" s="455"/>
      <c r="Q21" s="461">
        <f t="shared" si="0"/>
        <v>5</v>
      </c>
      <c r="R21" s="453" t="s">
        <v>394</v>
      </c>
      <c r="S21" s="454"/>
      <c r="T21" s="454"/>
      <c r="U21" s="457">
        <v>1</v>
      </c>
      <c r="V21" s="232"/>
      <c r="W21" s="232"/>
      <c r="X21" s="455">
        <v>0</v>
      </c>
      <c r="Y21" s="456">
        <f t="shared" si="1"/>
        <v>1</v>
      </c>
      <c r="Z21" s="459" t="s">
        <v>395</v>
      </c>
      <c r="AA21" s="460"/>
      <c r="AB21" s="460"/>
      <c r="AC21" s="457">
        <v>10</v>
      </c>
      <c r="AD21" s="232"/>
      <c r="AE21" s="232"/>
      <c r="AF21" s="455"/>
      <c r="AG21" s="458">
        <f t="shared" si="2"/>
        <v>10</v>
      </c>
    </row>
    <row r="22" spans="2:35" ht="15" customHeight="1" x14ac:dyDescent="0.15">
      <c r="B22" s="472" t="str">
        <f>VLOOKUP($D$5,classes,8,FALSE)</f>
        <v>自选</v>
      </c>
      <c r="C22" s="473"/>
      <c r="D22" s="473"/>
      <c r="E22" s="474"/>
      <c r="F22" s="480"/>
      <c r="G22" s="480"/>
      <c r="H22" s="480"/>
      <c r="I22" s="481"/>
      <c r="J22" s="476" t="s">
        <v>396</v>
      </c>
      <c r="K22" s="477"/>
      <c r="L22" s="477"/>
      <c r="M22" s="457">
        <v>5</v>
      </c>
      <c r="N22" s="232"/>
      <c r="O22" s="232"/>
      <c r="P22" s="455"/>
      <c r="Q22" s="461">
        <f t="shared" si="0"/>
        <v>5</v>
      </c>
      <c r="R22" s="453" t="s">
        <v>392</v>
      </c>
      <c r="S22" s="454"/>
      <c r="T22" s="454"/>
      <c r="U22" s="457">
        <v>1</v>
      </c>
      <c r="V22" s="232"/>
      <c r="W22" s="232"/>
      <c r="X22" s="455"/>
      <c r="Y22" s="456">
        <f t="shared" si="1"/>
        <v>1</v>
      </c>
      <c r="Z22" s="459" t="s">
        <v>397</v>
      </c>
      <c r="AA22" s="460"/>
      <c r="AB22" s="460"/>
      <c r="AC22" s="457">
        <v>25</v>
      </c>
      <c r="AD22" s="232"/>
      <c r="AE22" s="232"/>
      <c r="AF22" s="455"/>
      <c r="AG22" s="458">
        <f t="shared" si="2"/>
        <v>25</v>
      </c>
    </row>
    <row r="23" spans="2:35" ht="15" customHeight="1" x14ac:dyDescent="0.15">
      <c r="B23" s="472" t="str">
        <f>VLOOKUP($D$5,classes,9,FALSE)</f>
        <v>自选</v>
      </c>
      <c r="C23" s="473"/>
      <c r="D23" s="473"/>
      <c r="E23" s="474"/>
      <c r="F23" s="480"/>
      <c r="G23" s="480"/>
      <c r="H23" s="480"/>
      <c r="I23" s="481"/>
      <c r="J23" s="459" t="s">
        <v>398</v>
      </c>
      <c r="K23" s="460"/>
      <c r="L23" s="460"/>
      <c r="M23" s="457">
        <v>15</v>
      </c>
      <c r="N23" s="232"/>
      <c r="O23" s="232"/>
      <c r="P23" s="455"/>
      <c r="Q23" s="461">
        <f t="shared" si="0"/>
        <v>15</v>
      </c>
      <c r="R23" s="482" t="str">
        <f>ownlan</f>
        <v>英语</v>
      </c>
      <c r="S23" s="483"/>
      <c r="T23" s="483"/>
      <c r="U23" s="484">
        <f>edu</f>
        <v>65</v>
      </c>
      <c r="V23" s="232"/>
      <c r="W23" s="232"/>
      <c r="X23" s="455"/>
      <c r="Y23" s="456">
        <f t="shared" si="1"/>
        <v>65</v>
      </c>
      <c r="Z23" s="459" t="s">
        <v>399</v>
      </c>
      <c r="AA23" s="460"/>
      <c r="AB23" s="460"/>
      <c r="AC23" s="457">
        <v>20</v>
      </c>
      <c r="AD23" s="232"/>
      <c r="AE23" s="232"/>
      <c r="AF23" s="455"/>
      <c r="AG23" s="458">
        <f t="shared" si="2"/>
        <v>20</v>
      </c>
    </row>
    <row r="24" spans="2:35" ht="15" customHeight="1" x14ac:dyDescent="0.15">
      <c r="B24" s="472" t="str">
        <f>VLOOKUP($D$5,classes,10,FALSE)</f>
        <v>自选</v>
      </c>
      <c r="C24" s="473"/>
      <c r="D24" s="473"/>
      <c r="E24" s="474"/>
      <c r="F24" s="480"/>
      <c r="G24" s="480"/>
      <c r="H24" s="480"/>
      <c r="I24" s="481"/>
      <c r="J24" s="459" t="s">
        <v>400</v>
      </c>
      <c r="K24" s="460"/>
      <c r="L24" s="460"/>
      <c r="M24" s="457">
        <v>20</v>
      </c>
      <c r="N24" s="232"/>
      <c r="O24" s="232"/>
      <c r="P24" s="455"/>
      <c r="Q24" s="461">
        <f t="shared" ref="Q24:Q35" si="3">SUM(M24:P24)</f>
        <v>20</v>
      </c>
      <c r="R24" s="459" t="s">
        <v>401</v>
      </c>
      <c r="S24" s="460"/>
      <c r="T24" s="460"/>
      <c r="U24" s="457">
        <v>5</v>
      </c>
      <c r="V24" s="232"/>
      <c r="W24" s="232"/>
      <c r="X24" s="455"/>
      <c r="Y24" s="456">
        <f t="shared" si="1"/>
        <v>5</v>
      </c>
      <c r="Z24" s="453" t="s">
        <v>402</v>
      </c>
      <c r="AA24" s="454"/>
      <c r="AB24" s="454"/>
      <c r="AC24" s="457">
        <v>10</v>
      </c>
      <c r="AD24" s="232"/>
      <c r="AE24" s="232"/>
      <c r="AF24" s="455"/>
      <c r="AG24" s="458">
        <f t="shared" si="2"/>
        <v>10</v>
      </c>
    </row>
    <row r="25" spans="2:35" ht="15" customHeight="1" x14ac:dyDescent="0.15">
      <c r="B25" s="472" t="str">
        <f>VLOOKUP($D$5,classes,11,FALSE)</f>
        <v>自选</v>
      </c>
      <c r="C25" s="473"/>
      <c r="D25" s="473"/>
      <c r="E25" s="474"/>
      <c r="F25" s="480"/>
      <c r="G25" s="480"/>
      <c r="H25" s="480"/>
      <c r="I25" s="481"/>
      <c r="J25" s="485" t="s">
        <v>403</v>
      </c>
      <c r="K25" s="486"/>
      <c r="L25" s="486"/>
      <c r="M25" s="457">
        <v>0</v>
      </c>
      <c r="N25" s="232"/>
      <c r="O25" s="232"/>
      <c r="P25" s="455"/>
      <c r="Q25" s="461">
        <f t="shared" si="3"/>
        <v>0</v>
      </c>
      <c r="R25" s="459" t="s">
        <v>404</v>
      </c>
      <c r="S25" s="460"/>
      <c r="T25" s="460"/>
      <c r="U25" s="457">
        <v>20</v>
      </c>
      <c r="V25" s="232"/>
      <c r="W25" s="232"/>
      <c r="X25" s="455"/>
      <c r="Y25" s="456">
        <f t="shared" si="1"/>
        <v>20</v>
      </c>
      <c r="Z25" s="459" t="s">
        <v>405</v>
      </c>
      <c r="AA25" s="460"/>
      <c r="AB25" s="460"/>
      <c r="AC25" s="457">
        <v>20</v>
      </c>
      <c r="AD25" s="232"/>
      <c r="AE25" s="232"/>
      <c r="AF25" s="455"/>
      <c r="AG25" s="458">
        <f t="shared" si="2"/>
        <v>20</v>
      </c>
    </row>
    <row r="26" spans="2:35" ht="15" customHeight="1" x14ac:dyDescent="0.15">
      <c r="B26" s="487" t="str">
        <f>VLOOKUP($D$5,classes,12,FALSE)</f>
        <v>自选</v>
      </c>
      <c r="C26" s="488"/>
      <c r="D26" s="488"/>
      <c r="E26" s="489"/>
      <c r="F26" s="480"/>
      <c r="G26" s="480"/>
      <c r="H26" s="480"/>
      <c r="I26" s="481"/>
      <c r="J26" s="459" t="s">
        <v>406</v>
      </c>
      <c r="K26" s="490"/>
      <c r="L26" s="490"/>
      <c r="M26" s="457">
        <v>0</v>
      </c>
      <c r="N26" s="457"/>
      <c r="O26" s="232"/>
      <c r="P26" s="455"/>
      <c r="Q26" s="461">
        <f t="shared" si="3"/>
        <v>0</v>
      </c>
      <c r="R26" s="459" t="s">
        <v>407</v>
      </c>
      <c r="S26" s="460"/>
      <c r="T26" s="460"/>
      <c r="U26" s="457">
        <v>20</v>
      </c>
      <c r="V26" s="232"/>
      <c r="W26" s="232"/>
      <c r="X26" s="455"/>
      <c r="Y26" s="456">
        <f t="shared" si="1"/>
        <v>20</v>
      </c>
      <c r="Z26" s="459" t="s">
        <v>408</v>
      </c>
      <c r="AA26" s="460"/>
      <c r="AB26" s="460"/>
      <c r="AC26" s="457">
        <v>20</v>
      </c>
      <c r="AD26" s="232"/>
      <c r="AE26" s="232"/>
      <c r="AF26" s="455"/>
      <c r="AG26" s="458">
        <f t="shared" si="2"/>
        <v>20</v>
      </c>
    </row>
    <row r="27" spans="2:35" ht="15" customHeight="1" thickBot="1" x14ac:dyDescent="0.2">
      <c r="B27" s="491" t="str">
        <f>"阶层("&amp;VLOOKUP($D$5,classes,14,FALSE)&amp;")"</f>
        <v>阶层()</v>
      </c>
      <c r="C27" s="492"/>
      <c r="D27" s="492"/>
      <c r="E27" s="493"/>
      <c r="F27" s="494" t="s">
        <v>409</v>
      </c>
      <c r="G27" s="494"/>
      <c r="H27" s="494"/>
      <c r="I27" s="495"/>
      <c r="J27" s="459" t="s">
        <v>410</v>
      </c>
      <c r="K27" s="460"/>
      <c r="L27" s="460"/>
      <c r="M27" s="457">
        <v>5</v>
      </c>
      <c r="N27" s="232"/>
      <c r="O27" s="232"/>
      <c r="P27" s="455"/>
      <c r="Q27" s="461">
        <f t="shared" si="3"/>
        <v>5</v>
      </c>
      <c r="R27" s="459" t="s">
        <v>411</v>
      </c>
      <c r="S27" s="460"/>
      <c r="T27" s="460"/>
      <c r="U27" s="457">
        <v>1</v>
      </c>
      <c r="V27" s="232"/>
      <c r="W27" s="232"/>
      <c r="X27" s="455"/>
      <c r="Y27" s="456">
        <f t="shared" si="1"/>
        <v>1</v>
      </c>
      <c r="Z27" s="459" t="s">
        <v>412</v>
      </c>
      <c r="AA27" s="460"/>
      <c r="AB27" s="460"/>
      <c r="AC27" s="457">
        <v>10</v>
      </c>
      <c r="AD27" s="232"/>
      <c r="AE27" s="232"/>
      <c r="AF27" s="455"/>
      <c r="AG27" s="458">
        <f t="shared" si="2"/>
        <v>10</v>
      </c>
    </row>
    <row r="28" spans="2:35" ht="15" customHeight="1" thickTop="1" x14ac:dyDescent="0.15">
      <c r="B28" s="496" t="s">
        <v>413</v>
      </c>
      <c r="C28" s="497"/>
      <c r="D28" s="497"/>
      <c r="E28" s="497"/>
      <c r="F28" s="497"/>
      <c r="G28" s="497"/>
      <c r="H28" s="497"/>
      <c r="I28" s="498"/>
      <c r="J28" s="459" t="s">
        <v>414</v>
      </c>
      <c r="K28" s="460"/>
      <c r="L28" s="460"/>
      <c r="M28" s="484">
        <f>INT(dex/2)</f>
        <v>22</v>
      </c>
      <c r="N28" s="232"/>
      <c r="O28" s="232"/>
      <c r="P28" s="455"/>
      <c r="Q28" s="461">
        <f t="shared" si="3"/>
        <v>22</v>
      </c>
      <c r="R28" s="459" t="s">
        <v>415</v>
      </c>
      <c r="S28" s="460"/>
      <c r="T28" s="460"/>
      <c r="U28" s="457">
        <v>10</v>
      </c>
      <c r="V28" s="232"/>
      <c r="W28" s="232"/>
      <c r="X28" s="455"/>
      <c r="Y28" s="456">
        <f t="shared" si="1"/>
        <v>10</v>
      </c>
      <c r="Z28" s="499">
        <f>VLOOKUP($D$5,classes,15,FALSE)</f>
        <v>0</v>
      </c>
      <c r="AA28" s="500"/>
      <c r="AB28" s="500"/>
      <c r="AC28" s="484">
        <f>IF(OR(Z28="驯养"),5,1)</f>
        <v>1</v>
      </c>
      <c r="AD28" s="232"/>
      <c r="AE28" s="232"/>
      <c r="AF28" s="455"/>
      <c r="AG28" s="458">
        <f t="shared" si="2"/>
        <v>1</v>
      </c>
    </row>
    <row r="29" spans="2:35" ht="15" customHeight="1" x14ac:dyDescent="0.15">
      <c r="B29" s="496"/>
      <c r="C29" s="497"/>
      <c r="D29" s="497"/>
      <c r="E29" s="497"/>
      <c r="F29" s="497"/>
      <c r="G29" s="497"/>
      <c r="H29" s="497"/>
      <c r="I29" s="498"/>
      <c r="J29" s="459" t="s">
        <v>416</v>
      </c>
      <c r="K29" s="460"/>
      <c r="L29" s="460"/>
      <c r="M29" s="457">
        <v>20</v>
      </c>
      <c r="N29" s="232"/>
      <c r="O29" s="232"/>
      <c r="P29" s="455"/>
      <c r="Q29" s="461">
        <f t="shared" si="3"/>
        <v>20</v>
      </c>
      <c r="R29" s="459" t="s">
        <v>417</v>
      </c>
      <c r="S29" s="460"/>
      <c r="T29" s="460"/>
      <c r="U29" s="457">
        <v>1</v>
      </c>
      <c r="V29" s="232"/>
      <c r="W29" s="232"/>
      <c r="X29" s="455"/>
      <c r="Y29" s="456">
        <f t="shared" si="1"/>
        <v>1</v>
      </c>
      <c r="Z29" s="453"/>
      <c r="AA29" s="454"/>
      <c r="AB29" s="454"/>
      <c r="AC29" s="501"/>
      <c r="AD29" s="232"/>
      <c r="AE29" s="232"/>
      <c r="AF29" s="455"/>
      <c r="AG29" s="458">
        <f t="shared" si="2"/>
        <v>0</v>
      </c>
    </row>
    <row r="30" spans="2:35" ht="15" customHeight="1" x14ac:dyDescent="0.15">
      <c r="B30" s="496"/>
      <c r="C30" s="497"/>
      <c r="D30" s="497"/>
      <c r="E30" s="497"/>
      <c r="F30" s="497"/>
      <c r="G30" s="497"/>
      <c r="H30" s="497"/>
      <c r="I30" s="498"/>
      <c r="J30" s="485" t="s">
        <v>418</v>
      </c>
      <c r="K30" s="486"/>
      <c r="L30" s="502"/>
      <c r="M30" s="457">
        <v>5</v>
      </c>
      <c r="N30" s="232"/>
      <c r="O30" s="232"/>
      <c r="P30" s="455"/>
      <c r="Q30" s="456">
        <f t="shared" si="3"/>
        <v>5</v>
      </c>
      <c r="R30" s="459" t="s">
        <v>419</v>
      </c>
      <c r="S30" s="460"/>
      <c r="T30" s="460"/>
      <c r="U30" s="457">
        <v>10</v>
      </c>
      <c r="V30" s="232"/>
      <c r="W30" s="232"/>
      <c r="X30" s="455"/>
      <c r="Y30" s="456">
        <f t="shared" si="1"/>
        <v>10</v>
      </c>
      <c r="Z30" s="453"/>
      <c r="AA30" s="454"/>
      <c r="AB30" s="454"/>
      <c r="AC30" s="501"/>
      <c r="AD30" s="232"/>
      <c r="AE30" s="232"/>
      <c r="AF30" s="455"/>
      <c r="AG30" s="458">
        <f t="shared" si="2"/>
        <v>0</v>
      </c>
    </row>
    <row r="31" spans="2:35" ht="15" customHeight="1" x14ac:dyDescent="0.15">
      <c r="B31" s="496"/>
      <c r="C31" s="497"/>
      <c r="D31" s="497"/>
      <c r="E31" s="497"/>
      <c r="F31" s="497"/>
      <c r="G31" s="497"/>
      <c r="H31" s="497"/>
      <c r="I31" s="498"/>
      <c r="J31" s="459" t="s">
        <v>420</v>
      </c>
      <c r="K31" s="460"/>
      <c r="L31" s="460"/>
      <c r="M31" s="457">
        <v>25</v>
      </c>
      <c r="N31" s="232"/>
      <c r="O31" s="232"/>
      <c r="P31" s="455"/>
      <c r="Q31" s="456">
        <f t="shared" si="3"/>
        <v>25</v>
      </c>
      <c r="R31" s="459" t="s">
        <v>421</v>
      </c>
      <c r="S31" s="460"/>
      <c r="T31" s="460"/>
      <c r="U31" s="457">
        <v>10</v>
      </c>
      <c r="V31" s="232"/>
      <c r="W31" s="232"/>
      <c r="X31" s="455"/>
      <c r="Y31" s="456">
        <f t="shared" si="1"/>
        <v>10</v>
      </c>
      <c r="Z31" s="453"/>
      <c r="AA31" s="454"/>
      <c r="AB31" s="454"/>
      <c r="AC31" s="501"/>
      <c r="AD31" s="232"/>
      <c r="AE31" s="232"/>
      <c r="AF31" s="455"/>
      <c r="AG31" s="458">
        <f t="shared" si="2"/>
        <v>0</v>
      </c>
    </row>
    <row r="32" spans="2:35" ht="15" customHeight="1" x14ac:dyDescent="0.15">
      <c r="B32" s="503"/>
      <c r="C32" s="504"/>
      <c r="D32" s="504"/>
      <c r="E32" s="504"/>
      <c r="F32" s="504"/>
      <c r="G32" s="504"/>
      <c r="H32" s="504"/>
      <c r="I32" s="505"/>
      <c r="J32" s="453" t="s">
        <v>422</v>
      </c>
      <c r="K32" s="454"/>
      <c r="L32" s="454"/>
      <c r="M32" s="232">
        <v>1</v>
      </c>
      <c r="N32" s="232"/>
      <c r="O32" s="232"/>
      <c r="P32" s="455"/>
      <c r="Q32" s="456">
        <f t="shared" si="3"/>
        <v>1</v>
      </c>
      <c r="R32" s="459" t="s">
        <v>423</v>
      </c>
      <c r="S32" s="460"/>
      <c r="T32" s="460"/>
      <c r="U32" s="457">
        <v>5</v>
      </c>
      <c r="V32" s="232"/>
      <c r="W32" s="232"/>
      <c r="X32" s="455"/>
      <c r="Y32" s="456">
        <f t="shared" si="1"/>
        <v>5</v>
      </c>
      <c r="Z32" s="506"/>
      <c r="AA32" s="507"/>
      <c r="AB32" s="508"/>
      <c r="AC32" s="501"/>
      <c r="AD32" s="232"/>
      <c r="AE32" s="232"/>
      <c r="AF32" s="455"/>
      <c r="AG32" s="458">
        <f>SUM(AC32:AF32)</f>
        <v>0</v>
      </c>
    </row>
    <row r="33" spans="2:33" ht="15" customHeight="1" x14ac:dyDescent="0.15">
      <c r="B33" s="509" t="s">
        <v>424</v>
      </c>
      <c r="C33" s="276"/>
      <c r="D33" s="276"/>
      <c r="E33" s="276"/>
      <c r="F33" s="276"/>
      <c r="G33" s="276"/>
      <c r="H33" s="276"/>
      <c r="I33" s="475"/>
      <c r="J33" s="510" t="s">
        <v>425</v>
      </c>
      <c r="K33" s="511"/>
      <c r="L33" s="511"/>
      <c r="M33" s="512">
        <v>1</v>
      </c>
      <c r="N33" s="512"/>
      <c r="O33" s="512"/>
      <c r="P33" s="513"/>
      <c r="Q33" s="514">
        <f t="shared" si="3"/>
        <v>1</v>
      </c>
      <c r="R33" s="459" t="s">
        <v>426</v>
      </c>
      <c r="S33" s="460"/>
      <c r="T33" s="460"/>
      <c r="U33" s="457">
        <v>1</v>
      </c>
      <c r="V33" s="232"/>
      <c r="W33" s="232"/>
      <c r="X33" s="455"/>
      <c r="Y33" s="456">
        <f t="shared" si="1"/>
        <v>1</v>
      </c>
      <c r="Z33" s="506"/>
      <c r="AA33" s="507"/>
      <c r="AB33" s="508"/>
      <c r="AC33" s="501"/>
      <c r="AD33" s="232"/>
      <c r="AE33" s="232"/>
      <c r="AF33" s="455"/>
      <c r="AG33" s="458">
        <f t="shared" si="2"/>
        <v>0</v>
      </c>
    </row>
    <row r="34" spans="2:33" ht="15" customHeight="1" x14ac:dyDescent="0.15">
      <c r="B34" s="515" t="str">
        <f>IF(ISBLANK(D3),"请输入姓名！",IF(AF6&lt;150,"基本属性未乘以5！","")&amp;IF(F15&lt;0,"本职点数超出！","")&amp;IF(F17&lt;0,"兴趣点数超出！","")&amp;IF(OR(crd&lt;VLOOKUP(D5,classes,3,FALSE),crd&gt;VLOOKUP(D5,classes,4,FALSE)),"信用未在范围内！","")&amp;IF(AND(ISBLANK(F40),ISBLANK(F41),ISBLANK(F42),ISBLANK(F43)),"请填写人物背景！",""))</f>
        <v>请输入姓名！</v>
      </c>
      <c r="C34" s="516"/>
      <c r="D34" s="516"/>
      <c r="E34" s="516"/>
      <c r="F34" s="516"/>
      <c r="G34" s="516"/>
      <c r="H34" s="516"/>
      <c r="I34" s="517"/>
      <c r="J34" s="459" t="s">
        <v>427</v>
      </c>
      <c r="K34" s="460"/>
      <c r="L34" s="460"/>
      <c r="M34" s="457">
        <v>20</v>
      </c>
      <c r="N34" s="232"/>
      <c r="O34" s="232"/>
      <c r="P34" s="455"/>
      <c r="Q34" s="456">
        <f t="shared" si="3"/>
        <v>20</v>
      </c>
      <c r="R34" s="518" t="s">
        <v>428</v>
      </c>
      <c r="S34" s="519"/>
      <c r="T34" s="519"/>
      <c r="U34" s="520">
        <v>10</v>
      </c>
      <c r="V34" s="512"/>
      <c r="W34" s="512"/>
      <c r="X34" s="513"/>
      <c r="Y34" s="514">
        <f t="shared" si="1"/>
        <v>10</v>
      </c>
      <c r="Z34" s="506"/>
      <c r="AA34" s="507"/>
      <c r="AB34" s="508"/>
      <c r="AC34" s="501"/>
      <c r="AD34" s="232"/>
      <c r="AE34" s="232"/>
      <c r="AF34" s="455"/>
      <c r="AG34" s="458">
        <f t="shared" si="2"/>
        <v>0</v>
      </c>
    </row>
    <row r="35" spans="2:33" ht="15" customHeight="1" x14ac:dyDescent="0.15">
      <c r="B35" s="521"/>
      <c r="C35" s="522"/>
      <c r="D35" s="522"/>
      <c r="E35" s="522"/>
      <c r="F35" s="522"/>
      <c r="G35" s="522"/>
      <c r="H35" s="522"/>
      <c r="I35" s="523"/>
      <c r="J35" s="524" t="s">
        <v>429</v>
      </c>
      <c r="K35" s="525"/>
      <c r="L35" s="525"/>
      <c r="M35" s="526">
        <v>25</v>
      </c>
      <c r="N35" s="293"/>
      <c r="O35" s="293"/>
      <c r="P35" s="527"/>
      <c r="Q35" s="528">
        <f t="shared" si="3"/>
        <v>25</v>
      </c>
      <c r="R35" s="529" t="s">
        <v>430</v>
      </c>
      <c r="S35" s="530"/>
      <c r="T35" s="530"/>
      <c r="U35" s="526">
        <v>1</v>
      </c>
      <c r="V35" s="293"/>
      <c r="W35" s="293"/>
      <c r="X35" s="527"/>
      <c r="Y35" s="528">
        <f t="shared" si="1"/>
        <v>1</v>
      </c>
      <c r="Z35" s="531"/>
      <c r="AA35" s="532"/>
      <c r="AB35" s="533"/>
      <c r="AC35" s="534"/>
      <c r="AD35" s="293"/>
      <c r="AE35" s="293"/>
      <c r="AF35" s="527"/>
      <c r="AG35" s="535">
        <f t="shared" si="2"/>
        <v>0</v>
      </c>
    </row>
    <row r="36" spans="2:33" ht="7.5" customHeight="1" thickBot="1" x14ac:dyDescent="0.2">
      <c r="B36" s="192"/>
      <c r="C36" s="193"/>
      <c r="D36" s="193"/>
      <c r="E36" s="193"/>
      <c r="F36" s="193"/>
      <c r="G36" s="193"/>
      <c r="H36" s="194"/>
      <c r="I36" s="194"/>
      <c r="J36" s="194"/>
      <c r="K36" s="194"/>
      <c r="L36" s="194"/>
      <c r="M36" s="194"/>
      <c r="N36" s="194"/>
      <c r="O36" s="195"/>
      <c r="P36" s="195"/>
      <c r="Q36" s="195"/>
      <c r="R36" s="195"/>
      <c r="S36" s="195"/>
      <c r="T36" s="195"/>
      <c r="U36" s="195"/>
      <c r="V36" s="194"/>
      <c r="W36" s="194"/>
      <c r="X36" s="194"/>
      <c r="Y36" s="194"/>
      <c r="Z36" s="194"/>
      <c r="AA36" s="194"/>
      <c r="AB36" s="436"/>
      <c r="AC36" s="194"/>
      <c r="AD36" s="194"/>
      <c r="AE36" s="194"/>
      <c r="AF36" s="194"/>
      <c r="AG36" s="437"/>
    </row>
    <row r="37" spans="2:33" ht="24.95" customHeight="1" x14ac:dyDescent="0.25">
      <c r="B37" s="304" t="s">
        <v>431</v>
      </c>
      <c r="C37" s="202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305" t="s">
        <v>432</v>
      </c>
      <c r="AF37" s="306"/>
      <c r="AG37" s="307"/>
    </row>
    <row r="38" spans="2:33" ht="15" customHeight="1" x14ac:dyDescent="0.15">
      <c r="B38" s="309" t="s">
        <v>433</v>
      </c>
      <c r="C38" s="310"/>
      <c r="D38" s="310"/>
      <c r="E38" s="311"/>
      <c r="F38" s="536"/>
      <c r="G38" s="536"/>
      <c r="H38" s="536"/>
      <c r="I38" s="536"/>
      <c r="J38" s="536"/>
      <c r="K38" s="536"/>
      <c r="L38" s="536"/>
      <c r="M38" s="536"/>
      <c r="N38" s="536"/>
      <c r="O38" s="536"/>
      <c r="P38" s="536"/>
      <c r="Q38" s="536"/>
      <c r="R38" s="537" t="s">
        <v>434</v>
      </c>
      <c r="S38" s="310"/>
      <c r="T38" s="311"/>
      <c r="U38" s="538"/>
      <c r="V38" s="539"/>
      <c r="W38" s="539"/>
      <c r="X38" s="539"/>
      <c r="Y38" s="539"/>
      <c r="Z38" s="539"/>
      <c r="AA38" s="539"/>
      <c r="AB38" s="539"/>
      <c r="AC38" s="539"/>
      <c r="AD38" s="539"/>
      <c r="AE38" s="539"/>
      <c r="AF38" s="540"/>
      <c r="AG38" s="541"/>
    </row>
    <row r="39" spans="2:33" ht="15" customHeight="1" x14ac:dyDescent="0.15">
      <c r="B39" s="309" t="s">
        <v>435</v>
      </c>
      <c r="C39" s="310"/>
      <c r="D39" s="310"/>
      <c r="E39" s="311"/>
      <c r="F39" s="312"/>
      <c r="G39" s="313"/>
      <c r="H39" s="313"/>
      <c r="I39" s="313"/>
      <c r="J39" s="313"/>
      <c r="K39" s="313"/>
      <c r="L39" s="313"/>
      <c r="M39" s="313"/>
      <c r="N39" s="313"/>
      <c r="O39" s="313"/>
      <c r="P39" s="313"/>
      <c r="Q39" s="313"/>
      <c r="R39" s="313"/>
      <c r="S39" s="313"/>
      <c r="T39" s="313"/>
      <c r="U39" s="313"/>
      <c r="V39" s="313"/>
      <c r="W39" s="313"/>
      <c r="X39" s="313"/>
      <c r="Y39" s="313"/>
      <c r="Z39" s="313"/>
      <c r="AA39" s="313"/>
      <c r="AB39" s="313"/>
      <c r="AC39" s="313"/>
      <c r="AD39" s="313"/>
      <c r="AE39" s="313"/>
      <c r="AF39" s="542"/>
      <c r="AG39" s="314" t="s">
        <v>88</v>
      </c>
    </row>
    <row r="40" spans="2:33" ht="15" customHeight="1" x14ac:dyDescent="0.15">
      <c r="B40" s="309" t="s">
        <v>436</v>
      </c>
      <c r="C40" s="310"/>
      <c r="D40" s="310"/>
      <c r="E40" s="311"/>
      <c r="F40" s="312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3"/>
      <c r="V40" s="313"/>
      <c r="W40" s="313"/>
      <c r="X40" s="313"/>
      <c r="Y40" s="313"/>
      <c r="Z40" s="313"/>
      <c r="AA40" s="313"/>
      <c r="AB40" s="313"/>
      <c r="AC40" s="313"/>
      <c r="AD40" s="313"/>
      <c r="AE40" s="313"/>
      <c r="AF40" s="542"/>
      <c r="AG40" s="314" t="s">
        <v>88</v>
      </c>
    </row>
    <row r="41" spans="2:33" ht="15" customHeight="1" x14ac:dyDescent="0.15">
      <c r="B41" s="309" t="s">
        <v>437</v>
      </c>
      <c r="C41" s="310"/>
      <c r="D41" s="310"/>
      <c r="E41" s="311"/>
      <c r="F41" s="312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3"/>
      <c r="V41" s="313"/>
      <c r="W41" s="313"/>
      <c r="X41" s="313"/>
      <c r="Y41" s="313"/>
      <c r="Z41" s="313"/>
      <c r="AA41" s="313"/>
      <c r="AB41" s="313"/>
      <c r="AC41" s="313"/>
      <c r="AD41" s="313"/>
      <c r="AE41" s="313"/>
      <c r="AF41" s="542"/>
      <c r="AG41" s="314" t="s">
        <v>88</v>
      </c>
    </row>
    <row r="42" spans="2:33" ht="15" customHeight="1" x14ac:dyDescent="0.15">
      <c r="B42" s="309" t="s">
        <v>438</v>
      </c>
      <c r="C42" s="310"/>
      <c r="D42" s="310"/>
      <c r="E42" s="311"/>
      <c r="F42" s="312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3"/>
      <c r="AD42" s="313"/>
      <c r="AE42" s="313"/>
      <c r="AF42" s="542"/>
      <c r="AG42" s="314" t="s">
        <v>88</v>
      </c>
    </row>
    <row r="43" spans="2:33" ht="15" customHeight="1" x14ac:dyDescent="0.15">
      <c r="B43" s="309" t="s">
        <v>439</v>
      </c>
      <c r="C43" s="310"/>
      <c r="D43" s="310"/>
      <c r="E43" s="311"/>
      <c r="F43" s="312"/>
      <c r="G43" s="313"/>
      <c r="H43" s="313"/>
      <c r="I43" s="313"/>
      <c r="J43" s="313"/>
      <c r="K43" s="313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  <c r="Y43" s="313"/>
      <c r="Z43" s="313"/>
      <c r="AA43" s="313"/>
      <c r="AB43" s="313"/>
      <c r="AC43" s="313"/>
      <c r="AD43" s="313"/>
      <c r="AE43" s="313"/>
      <c r="AF43" s="542"/>
      <c r="AG43" s="314" t="s">
        <v>88</v>
      </c>
    </row>
    <row r="44" spans="2:33" ht="15" customHeight="1" x14ac:dyDescent="0.15">
      <c r="B44" s="309" t="s">
        <v>440</v>
      </c>
      <c r="C44" s="310"/>
      <c r="D44" s="310"/>
      <c r="E44" s="311"/>
      <c r="F44" s="312"/>
      <c r="G44" s="313"/>
      <c r="H44" s="313"/>
      <c r="I44" s="313"/>
      <c r="J44" s="313"/>
      <c r="K44" s="313"/>
      <c r="L44" s="313"/>
      <c r="M44" s="313"/>
      <c r="N44" s="313"/>
      <c r="O44" s="313"/>
      <c r="P44" s="313"/>
      <c r="Q44" s="313"/>
      <c r="R44" s="313"/>
      <c r="S44" s="313"/>
      <c r="T44" s="313"/>
      <c r="U44" s="313"/>
      <c r="V44" s="313"/>
      <c r="W44" s="313"/>
      <c r="X44" s="313"/>
      <c r="Y44" s="313"/>
      <c r="Z44" s="313"/>
      <c r="AA44" s="313"/>
      <c r="AB44" s="313"/>
      <c r="AC44" s="313"/>
      <c r="AD44" s="313"/>
      <c r="AE44" s="313"/>
      <c r="AF44" s="542"/>
      <c r="AG44" s="314" t="s">
        <v>88</v>
      </c>
    </row>
    <row r="45" spans="2:33" ht="15" customHeight="1" x14ac:dyDescent="0.15">
      <c r="B45" s="309" t="s">
        <v>441</v>
      </c>
      <c r="C45" s="310"/>
      <c r="D45" s="310"/>
      <c r="E45" s="311"/>
      <c r="F45" s="312"/>
      <c r="G45" s="313"/>
      <c r="H45" s="313"/>
      <c r="I45" s="313"/>
      <c r="J45" s="313"/>
      <c r="K45" s="313"/>
      <c r="L45" s="313"/>
      <c r="M45" s="313"/>
      <c r="N45" s="313"/>
      <c r="O45" s="313"/>
      <c r="P45" s="313"/>
      <c r="Q45" s="313"/>
      <c r="R45" s="313"/>
      <c r="S45" s="313"/>
      <c r="T45" s="313"/>
      <c r="U45" s="313"/>
      <c r="V45" s="313"/>
      <c r="W45" s="313"/>
      <c r="X45" s="313"/>
      <c r="Y45" s="313"/>
      <c r="Z45" s="313"/>
      <c r="AA45" s="313"/>
      <c r="AB45" s="313"/>
      <c r="AC45" s="313"/>
      <c r="AD45" s="313"/>
      <c r="AE45" s="313"/>
      <c r="AF45" s="542"/>
      <c r="AG45" s="314" t="s">
        <v>88</v>
      </c>
    </row>
    <row r="46" spans="2:33" ht="15" customHeight="1" thickBot="1" x14ac:dyDescent="0.2">
      <c r="B46" s="316" t="s">
        <v>442</v>
      </c>
      <c r="C46" s="317"/>
      <c r="D46" s="317"/>
      <c r="E46" s="318"/>
      <c r="F46" s="319"/>
      <c r="G46" s="320"/>
      <c r="H46" s="320"/>
      <c r="I46" s="320"/>
      <c r="J46" s="320"/>
      <c r="K46" s="320"/>
      <c r="L46" s="320"/>
      <c r="M46" s="320"/>
      <c r="N46" s="320"/>
      <c r="O46" s="320"/>
      <c r="P46" s="320"/>
      <c r="Q46" s="320"/>
      <c r="R46" s="320"/>
      <c r="S46" s="320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  <c r="AD46" s="320"/>
      <c r="AE46" s="320"/>
      <c r="AF46" s="543"/>
      <c r="AG46" s="321" t="s">
        <v>88</v>
      </c>
    </row>
    <row r="47" spans="2:33" ht="7.5" customHeight="1" thickBot="1" x14ac:dyDescent="0.2">
      <c r="B47" s="192"/>
      <c r="C47" s="193"/>
      <c r="D47" s="193"/>
      <c r="E47" s="193"/>
      <c r="F47" s="193"/>
      <c r="G47" s="193"/>
      <c r="H47" s="194"/>
      <c r="I47" s="194"/>
      <c r="J47" s="194"/>
      <c r="K47" s="194"/>
      <c r="L47" s="194"/>
      <c r="M47" s="194"/>
      <c r="N47" s="194"/>
      <c r="O47" s="195"/>
      <c r="P47" s="195"/>
      <c r="Q47" s="195"/>
      <c r="R47" s="195"/>
      <c r="S47" s="195"/>
      <c r="T47" s="195"/>
      <c r="U47" s="195"/>
      <c r="V47" s="194"/>
      <c r="W47" s="194"/>
      <c r="X47" s="194"/>
      <c r="Y47" s="194"/>
      <c r="Z47" s="194"/>
      <c r="AA47" s="194"/>
      <c r="AB47" s="436"/>
      <c r="AC47" s="194"/>
      <c r="AD47" s="194"/>
      <c r="AE47" s="194"/>
      <c r="AF47" s="194"/>
      <c r="AG47" s="437"/>
    </row>
    <row r="48" spans="2:33" ht="24.95" customHeight="1" x14ac:dyDescent="0.15">
      <c r="B48" s="304" t="s">
        <v>443</v>
      </c>
      <c r="C48" s="202"/>
      <c r="D48" s="202"/>
      <c r="E48" s="202"/>
      <c r="F48" s="202"/>
      <c r="G48" s="202"/>
      <c r="H48" s="202"/>
      <c r="I48" s="202"/>
      <c r="J48" s="202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3"/>
    </row>
    <row r="49" spans="2:33" ht="15" customHeight="1" thickBot="1" x14ac:dyDescent="0.2">
      <c r="B49" s="544" t="s">
        <v>444</v>
      </c>
      <c r="C49" s="545"/>
      <c r="D49" s="545"/>
      <c r="E49" s="546"/>
      <c r="F49" s="547" t="str">
        <f>IF(crd=0,￡!D2,IF(crd&lt;10,￡!D3,IF(crd&lt;50,￡!D4,IF(crd&lt;90,￡!D5,IF(crd&lt;99,￡!D6,￡!D7)))))</f>
        <v>5p</v>
      </c>
      <c r="G49" s="548"/>
      <c r="H49" s="548"/>
      <c r="I49" s="549"/>
      <c r="J49" s="550" t="s">
        <v>445</v>
      </c>
      <c r="K49" s="492"/>
      <c r="L49" s="492"/>
      <c r="M49" s="493"/>
      <c r="N49" s="547" t="str">
        <f>"￡"&amp;IF(crd=0,￡!C2,IF(crd&lt;10,crd*￡!C3,IF(crd&lt;50,crd*￡!C4,IF(crd&lt;90,crd*￡!C5,IF(crd&lt;99,crd*￡!C6,￡!C7)))))</f>
        <v>￡5s</v>
      </c>
      <c r="O49" s="548"/>
      <c r="P49" s="548"/>
      <c r="Q49" s="549"/>
      <c r="R49" s="550" t="s">
        <v>446</v>
      </c>
      <c r="S49" s="492"/>
      <c r="T49" s="492"/>
      <c r="U49" s="493"/>
      <c r="V49" s="547" t="str">
        <f>"￡"&amp;IF(crd=0,￡!B2,IF(crd&lt;10,crd*￡!B3,IF(crd&lt;50,crd*￡!B4,IF(crd&lt;90,crd*￡!B5,IF(crd&lt;99,crd*￡!B6,￡!B7)))))</f>
        <v>￡0</v>
      </c>
      <c r="W49" s="548"/>
      <c r="X49" s="548"/>
      <c r="Y49" s="549"/>
      <c r="Z49" s="550" t="s">
        <v>447</v>
      </c>
      <c r="AA49" s="492"/>
      <c r="AB49" s="492"/>
      <c r="AC49" s="493"/>
      <c r="AD49" s="551">
        <f>SUM(道具!B:B,武器!I:I)+INT(SUM(道具!C:C,武器!J:J)/20)</f>
        <v>0</v>
      </c>
      <c r="AE49" s="552"/>
      <c r="AF49" s="553">
        <f>MOD(SUM(道具!C:C,武器!J:J),20)+INT(SUM(道具!D:D,武器!K:K)/12)</f>
        <v>0</v>
      </c>
      <c r="AG49" s="554">
        <f>MOD(SUM(道具!D:D,武器!K:K),12)</f>
        <v>0</v>
      </c>
    </row>
    <row r="50" spans="2:33" ht="15" customHeight="1" thickTop="1" x14ac:dyDescent="0.15">
      <c r="B50" s="555" t="s">
        <v>448</v>
      </c>
      <c r="C50" s="159"/>
      <c r="D50" s="159"/>
      <c r="E50" s="159"/>
      <c r="F50" s="159" t="s">
        <v>449</v>
      </c>
      <c r="G50" s="159"/>
      <c r="H50" s="159"/>
      <c r="I50" s="159"/>
      <c r="J50" s="159" t="s">
        <v>450</v>
      </c>
      <c r="K50" s="159"/>
      <c r="L50" s="159"/>
      <c r="M50" s="159"/>
      <c r="N50" s="159"/>
      <c r="O50" s="159"/>
      <c r="P50" s="159"/>
      <c r="Q50" s="556"/>
      <c r="R50" s="557" t="s">
        <v>451</v>
      </c>
      <c r="S50" s="159"/>
      <c r="T50" s="159"/>
      <c r="U50" s="159"/>
      <c r="V50" s="558" t="s">
        <v>452</v>
      </c>
      <c r="W50" s="467"/>
      <c r="X50" s="467"/>
      <c r="Y50" s="160"/>
      <c r="Z50" s="159" t="s">
        <v>453</v>
      </c>
      <c r="AA50" s="159"/>
      <c r="AB50" s="159"/>
      <c r="AC50" s="159"/>
      <c r="AD50" s="159"/>
      <c r="AE50" s="159"/>
      <c r="AF50" s="159"/>
      <c r="AG50" s="559"/>
    </row>
    <row r="51" spans="2:33" ht="15" customHeight="1" x14ac:dyDescent="0.15">
      <c r="B51" s="560"/>
      <c r="C51" s="391"/>
      <c r="D51" s="391"/>
      <c r="E51" s="561"/>
      <c r="F51" s="294"/>
      <c r="G51" s="295"/>
      <c r="H51" s="562"/>
      <c r="I51" s="563"/>
      <c r="J51" s="390"/>
      <c r="K51" s="391"/>
      <c r="L51" s="391"/>
      <c r="M51" s="391"/>
      <c r="N51" s="391"/>
      <c r="O51" s="391"/>
      <c r="P51" s="391"/>
      <c r="Q51" s="392"/>
      <c r="R51" s="564"/>
      <c r="S51" s="391"/>
      <c r="T51" s="391"/>
      <c r="U51" s="561"/>
      <c r="V51" s="294"/>
      <c r="W51" s="295"/>
      <c r="X51" s="296"/>
      <c r="Y51" s="297"/>
      <c r="Z51" s="390"/>
      <c r="AA51" s="391"/>
      <c r="AB51" s="391"/>
      <c r="AC51" s="391"/>
      <c r="AD51" s="391"/>
      <c r="AE51" s="391"/>
      <c r="AF51" s="391"/>
      <c r="AG51" s="565"/>
    </row>
    <row r="52" spans="2:33" ht="15" customHeight="1" x14ac:dyDescent="0.15">
      <c r="B52" s="560"/>
      <c r="C52" s="391"/>
      <c r="D52" s="391"/>
      <c r="E52" s="561"/>
      <c r="F52" s="294"/>
      <c r="G52" s="295"/>
      <c r="H52" s="562"/>
      <c r="I52" s="563"/>
      <c r="J52" s="390"/>
      <c r="K52" s="391"/>
      <c r="L52" s="391"/>
      <c r="M52" s="391"/>
      <c r="N52" s="391"/>
      <c r="O52" s="391"/>
      <c r="P52" s="391"/>
      <c r="Q52" s="392"/>
      <c r="R52" s="564"/>
      <c r="S52" s="391"/>
      <c r="T52" s="391"/>
      <c r="U52" s="561"/>
      <c r="V52" s="294"/>
      <c r="W52" s="295"/>
      <c r="X52" s="566"/>
      <c r="Y52" s="297"/>
      <c r="Z52" s="390"/>
      <c r="AA52" s="391"/>
      <c r="AB52" s="391"/>
      <c r="AC52" s="391"/>
      <c r="AD52" s="391"/>
      <c r="AE52" s="391"/>
      <c r="AF52" s="391"/>
      <c r="AG52" s="565"/>
    </row>
    <row r="53" spans="2:33" ht="15" customHeight="1" x14ac:dyDescent="0.15">
      <c r="B53" s="560"/>
      <c r="C53" s="391"/>
      <c r="D53" s="391"/>
      <c r="E53" s="561"/>
      <c r="F53" s="294"/>
      <c r="G53" s="295"/>
      <c r="H53" s="562"/>
      <c r="I53" s="563"/>
      <c r="J53" s="390"/>
      <c r="K53" s="391"/>
      <c r="L53" s="391"/>
      <c r="M53" s="391"/>
      <c r="N53" s="391"/>
      <c r="O53" s="391"/>
      <c r="P53" s="391"/>
      <c r="Q53" s="392"/>
      <c r="R53" s="564"/>
      <c r="S53" s="391"/>
      <c r="T53" s="391"/>
      <c r="U53" s="561"/>
      <c r="V53" s="294"/>
      <c r="W53" s="295"/>
      <c r="X53" s="296"/>
      <c r="Y53" s="297"/>
      <c r="Z53" s="390"/>
      <c r="AA53" s="391"/>
      <c r="AB53" s="391"/>
      <c r="AC53" s="391"/>
      <c r="AD53" s="391"/>
      <c r="AE53" s="391"/>
      <c r="AF53" s="391"/>
      <c r="AG53" s="565"/>
    </row>
    <row r="54" spans="2:33" ht="15" customHeight="1" x14ac:dyDescent="0.15">
      <c r="B54" s="560"/>
      <c r="C54" s="391"/>
      <c r="D54" s="391"/>
      <c r="E54" s="561"/>
      <c r="F54" s="294"/>
      <c r="G54" s="295"/>
      <c r="H54" s="562"/>
      <c r="I54" s="563"/>
      <c r="J54" s="390"/>
      <c r="K54" s="391"/>
      <c r="L54" s="391"/>
      <c r="M54" s="391"/>
      <c r="N54" s="391"/>
      <c r="O54" s="391"/>
      <c r="P54" s="391"/>
      <c r="Q54" s="392"/>
      <c r="R54" s="564"/>
      <c r="S54" s="391"/>
      <c r="T54" s="391"/>
      <c r="U54" s="561"/>
      <c r="V54" s="294"/>
      <c r="W54" s="295"/>
      <c r="X54" s="296"/>
      <c r="Y54" s="297"/>
      <c r="Z54" s="390"/>
      <c r="AA54" s="391"/>
      <c r="AB54" s="391"/>
      <c r="AC54" s="391"/>
      <c r="AD54" s="391"/>
      <c r="AE54" s="391"/>
      <c r="AF54" s="391"/>
      <c r="AG54" s="565"/>
    </row>
    <row r="55" spans="2:33" ht="15" customHeight="1" x14ac:dyDescent="0.15">
      <c r="B55" s="560"/>
      <c r="C55" s="391"/>
      <c r="D55" s="391"/>
      <c r="E55" s="561"/>
      <c r="F55" s="294"/>
      <c r="G55" s="295"/>
      <c r="H55" s="562"/>
      <c r="I55" s="563"/>
      <c r="J55" s="390"/>
      <c r="K55" s="391"/>
      <c r="L55" s="391"/>
      <c r="M55" s="391"/>
      <c r="N55" s="391"/>
      <c r="O55" s="391"/>
      <c r="P55" s="391"/>
      <c r="Q55" s="392"/>
      <c r="R55" s="564"/>
      <c r="S55" s="391"/>
      <c r="T55" s="391"/>
      <c r="U55" s="561"/>
      <c r="V55" s="294"/>
      <c r="W55" s="295"/>
      <c r="X55" s="296"/>
      <c r="Y55" s="297"/>
      <c r="Z55" s="390"/>
      <c r="AA55" s="391"/>
      <c r="AB55" s="391"/>
      <c r="AC55" s="391"/>
      <c r="AD55" s="391"/>
      <c r="AE55" s="391"/>
      <c r="AF55" s="391"/>
      <c r="AG55" s="565"/>
    </row>
    <row r="56" spans="2:33" ht="15" customHeight="1" thickBot="1" x14ac:dyDescent="0.2">
      <c r="B56" s="560"/>
      <c r="C56" s="391"/>
      <c r="D56" s="391"/>
      <c r="E56" s="561"/>
      <c r="F56" s="567"/>
      <c r="G56" s="568"/>
      <c r="H56" s="569"/>
      <c r="I56" s="570"/>
      <c r="J56" s="390"/>
      <c r="K56" s="391"/>
      <c r="L56" s="391"/>
      <c r="M56" s="391"/>
      <c r="N56" s="391"/>
      <c r="O56" s="391"/>
      <c r="P56" s="391"/>
      <c r="Q56" s="392"/>
      <c r="R56" s="564"/>
      <c r="S56" s="391"/>
      <c r="T56" s="391"/>
      <c r="U56" s="561"/>
      <c r="V56" s="567"/>
      <c r="W56" s="568"/>
      <c r="X56" s="571"/>
      <c r="Y56" s="297"/>
      <c r="Z56" s="390"/>
      <c r="AA56" s="391"/>
      <c r="AB56" s="391"/>
      <c r="AC56" s="391"/>
      <c r="AD56" s="391"/>
      <c r="AE56" s="391"/>
      <c r="AF56" s="391"/>
      <c r="AG56" s="565"/>
    </row>
    <row r="57" spans="2:33" ht="15" customHeight="1" thickTop="1" x14ac:dyDescent="0.15">
      <c r="B57" s="555" t="s">
        <v>454</v>
      </c>
      <c r="C57" s="159"/>
      <c r="D57" s="159"/>
      <c r="E57" s="159"/>
      <c r="F57" s="159" t="s">
        <v>455</v>
      </c>
      <c r="G57" s="159"/>
      <c r="H57" s="159"/>
      <c r="I57" s="159"/>
      <c r="J57" s="159" t="s">
        <v>456</v>
      </c>
      <c r="K57" s="159"/>
      <c r="L57" s="159" t="s">
        <v>457</v>
      </c>
      <c r="M57" s="159"/>
      <c r="N57" s="159"/>
      <c r="O57" s="159"/>
      <c r="P57" s="159" t="s">
        <v>458</v>
      </c>
      <c r="Q57" s="159"/>
      <c r="R57" s="159" t="s">
        <v>459</v>
      </c>
      <c r="S57" s="159"/>
      <c r="T57" s="159" t="s">
        <v>460</v>
      </c>
      <c r="U57" s="159"/>
      <c r="V57" s="159" t="s">
        <v>461</v>
      </c>
      <c r="W57" s="159"/>
      <c r="X57" s="572" t="s">
        <v>462</v>
      </c>
      <c r="Y57" s="573"/>
      <c r="Z57" s="573"/>
      <c r="AA57" s="574"/>
      <c r="AB57" s="159" t="s">
        <v>453</v>
      </c>
      <c r="AC57" s="159"/>
      <c r="AD57" s="159"/>
      <c r="AE57" s="159"/>
      <c r="AF57" s="159"/>
      <c r="AG57" s="559"/>
    </row>
    <row r="58" spans="2:33" ht="15" customHeight="1" x14ac:dyDescent="0.15">
      <c r="B58" s="575" t="s">
        <v>463</v>
      </c>
      <c r="C58" s="144"/>
      <c r="D58" s="144"/>
      <c r="E58" s="144"/>
      <c r="F58" s="144" t="s">
        <v>464</v>
      </c>
      <c r="G58" s="144"/>
      <c r="H58" s="144"/>
      <c r="I58" s="144"/>
      <c r="J58" s="144">
        <f>brawl</f>
        <v>25</v>
      </c>
      <c r="K58" s="144"/>
      <c r="L58" s="134" t="s">
        <v>113</v>
      </c>
      <c r="M58" s="576"/>
      <c r="N58" s="576"/>
      <c r="O58" s="135"/>
      <c r="P58" s="134" t="s">
        <v>465</v>
      </c>
      <c r="Q58" s="135"/>
      <c r="R58" s="134">
        <v>1</v>
      </c>
      <c r="S58" s="135"/>
      <c r="T58" s="134" t="s">
        <v>105</v>
      </c>
      <c r="U58" s="135"/>
      <c r="V58" s="134" t="s">
        <v>82</v>
      </c>
      <c r="W58" s="135"/>
      <c r="X58" s="134" t="s">
        <v>106</v>
      </c>
      <c r="Y58" s="576"/>
      <c r="Z58" s="576"/>
      <c r="AA58" s="135"/>
      <c r="AB58" s="134"/>
      <c r="AC58" s="576"/>
      <c r="AD58" s="576"/>
      <c r="AE58" s="576"/>
      <c r="AF58" s="576"/>
      <c r="AG58" s="577"/>
    </row>
    <row r="59" spans="2:33" ht="15" customHeight="1" x14ac:dyDescent="0.15">
      <c r="B59" s="578"/>
      <c r="C59" s="165"/>
      <c r="D59" s="165"/>
      <c r="E59" s="165"/>
      <c r="F59" s="165"/>
      <c r="G59" s="165"/>
      <c r="H59" s="165"/>
      <c r="I59" s="165"/>
      <c r="J59" s="165"/>
      <c r="K59" s="165"/>
      <c r="L59" s="390"/>
      <c r="M59" s="391"/>
      <c r="N59" s="391"/>
      <c r="O59" s="561"/>
      <c r="P59" s="390"/>
      <c r="Q59" s="561"/>
      <c r="R59" s="390"/>
      <c r="S59" s="561"/>
      <c r="T59" s="390"/>
      <c r="U59" s="561"/>
      <c r="V59" s="390"/>
      <c r="W59" s="561"/>
      <c r="X59" s="579"/>
      <c r="Y59" s="580"/>
      <c r="Z59" s="581"/>
      <c r="AA59" s="582"/>
      <c r="AB59" s="390"/>
      <c r="AC59" s="391"/>
      <c r="AD59" s="391"/>
      <c r="AE59" s="391"/>
      <c r="AF59" s="391"/>
      <c r="AG59" s="565"/>
    </row>
    <row r="60" spans="2:33" ht="15" customHeight="1" thickBot="1" x14ac:dyDescent="0.2">
      <c r="B60" s="583"/>
      <c r="C60" s="584"/>
      <c r="D60" s="584"/>
      <c r="E60" s="584"/>
      <c r="F60" s="584"/>
      <c r="G60" s="584"/>
      <c r="H60" s="584"/>
      <c r="I60" s="584"/>
      <c r="J60" s="584"/>
      <c r="K60" s="584"/>
      <c r="L60" s="585"/>
      <c r="M60" s="586"/>
      <c r="N60" s="586"/>
      <c r="O60" s="587"/>
      <c r="P60" s="585"/>
      <c r="Q60" s="587"/>
      <c r="R60" s="585"/>
      <c r="S60" s="587"/>
      <c r="T60" s="585"/>
      <c r="U60" s="587"/>
      <c r="V60" s="585"/>
      <c r="W60" s="587"/>
      <c r="X60" s="588"/>
      <c r="Y60" s="589"/>
      <c r="Z60" s="590"/>
      <c r="AA60" s="591"/>
      <c r="AB60" s="585"/>
      <c r="AC60" s="586"/>
      <c r="AD60" s="586"/>
      <c r="AE60" s="586"/>
      <c r="AF60" s="586"/>
      <c r="AG60" s="592"/>
    </row>
    <row r="61" spans="2:33" ht="7.5" customHeight="1" x14ac:dyDescent="0.15"/>
    <row r="62" spans="2:33" ht="15" customHeight="1" thickBot="1" x14ac:dyDescent="0.2">
      <c r="B62" s="593" t="s">
        <v>466</v>
      </c>
      <c r="C62" s="593"/>
      <c r="D62" s="593"/>
      <c r="E62" s="593"/>
      <c r="F62" s="593"/>
      <c r="G62" s="593"/>
      <c r="H62" s="593"/>
      <c r="I62" s="593"/>
      <c r="J62" s="593"/>
      <c r="K62" s="593"/>
      <c r="L62" s="593"/>
      <c r="M62" s="593"/>
      <c r="N62" s="593"/>
      <c r="O62" s="593"/>
      <c r="P62" s="593"/>
      <c r="Q62" s="593"/>
      <c r="R62" s="593"/>
      <c r="S62" s="593"/>
      <c r="T62" s="593"/>
      <c r="U62" s="593"/>
      <c r="V62" s="593"/>
      <c r="W62" s="593"/>
      <c r="X62" s="593"/>
      <c r="Y62" s="593"/>
      <c r="Z62" s="593"/>
      <c r="AA62" s="593"/>
      <c r="AB62" s="593"/>
      <c r="AC62" s="593"/>
      <c r="AD62" s="593"/>
      <c r="AE62" s="593"/>
      <c r="AF62" s="593"/>
      <c r="AG62" s="593"/>
    </row>
    <row r="63" spans="2:33" ht="15" customHeight="1" x14ac:dyDescent="0.15">
      <c r="B63" s="337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9"/>
    </row>
    <row r="64" spans="2:33" ht="15" customHeight="1" x14ac:dyDescent="0.15">
      <c r="B64" s="343"/>
      <c r="C64" s="344"/>
      <c r="D64" s="344"/>
      <c r="E64" s="344"/>
      <c r="F64" s="344"/>
      <c r="G64" s="344"/>
      <c r="H64" s="344"/>
      <c r="I64" s="344"/>
      <c r="J64" s="344"/>
      <c r="K64" s="344"/>
      <c r="L64" s="344"/>
      <c r="M64" s="344"/>
      <c r="N64" s="344"/>
      <c r="O64" s="344"/>
      <c r="P64" s="344"/>
      <c r="Q64" s="344"/>
      <c r="R64" s="344"/>
      <c r="S64" s="344"/>
      <c r="T64" s="344"/>
      <c r="U64" s="344"/>
      <c r="V64" s="344"/>
      <c r="W64" s="344"/>
      <c r="X64" s="344"/>
      <c r="Y64" s="344"/>
      <c r="Z64" s="344"/>
      <c r="AA64" s="344"/>
      <c r="AB64" s="344"/>
      <c r="AC64" s="344"/>
      <c r="AD64" s="344"/>
      <c r="AE64" s="344"/>
      <c r="AF64" s="344"/>
      <c r="AG64" s="345"/>
    </row>
    <row r="65" spans="2:33" ht="15" customHeight="1" x14ac:dyDescent="0.15">
      <c r="B65" s="343"/>
      <c r="C65" s="344"/>
      <c r="D65" s="344"/>
      <c r="E65" s="344"/>
      <c r="F65" s="344"/>
      <c r="G65" s="344"/>
      <c r="H65" s="344"/>
      <c r="I65" s="344"/>
      <c r="J65" s="344"/>
      <c r="K65" s="344"/>
      <c r="L65" s="344"/>
      <c r="M65" s="344"/>
      <c r="N65" s="344"/>
      <c r="O65" s="344"/>
      <c r="P65" s="344"/>
      <c r="Q65" s="344"/>
      <c r="R65" s="344"/>
      <c r="S65" s="344"/>
      <c r="T65" s="344"/>
      <c r="U65" s="344"/>
      <c r="V65" s="344"/>
      <c r="W65" s="344"/>
      <c r="X65" s="344"/>
      <c r="Y65" s="344"/>
      <c r="Z65" s="344"/>
      <c r="AA65" s="344"/>
      <c r="AB65" s="344"/>
      <c r="AC65" s="344"/>
      <c r="AD65" s="344"/>
      <c r="AE65" s="344"/>
      <c r="AF65" s="344"/>
      <c r="AG65" s="345"/>
    </row>
    <row r="66" spans="2:33" ht="15" customHeight="1" x14ac:dyDescent="0.15">
      <c r="B66" s="343"/>
      <c r="C66" s="344"/>
      <c r="D66" s="344"/>
      <c r="E66" s="344"/>
      <c r="F66" s="344"/>
      <c r="G66" s="344"/>
      <c r="H66" s="344"/>
      <c r="I66" s="344"/>
      <c r="J66" s="344"/>
      <c r="K66" s="344"/>
      <c r="L66" s="344"/>
      <c r="M66" s="344"/>
      <c r="N66" s="344"/>
      <c r="O66" s="344"/>
      <c r="P66" s="344"/>
      <c r="Q66" s="344"/>
      <c r="R66" s="344"/>
      <c r="S66" s="344"/>
      <c r="T66" s="344"/>
      <c r="U66" s="344"/>
      <c r="V66" s="344"/>
      <c r="W66" s="344"/>
      <c r="X66" s="344"/>
      <c r="Y66" s="344"/>
      <c r="Z66" s="344"/>
      <c r="AA66" s="344"/>
      <c r="AB66" s="344"/>
      <c r="AC66" s="344"/>
      <c r="AD66" s="344"/>
      <c r="AE66" s="344"/>
      <c r="AF66" s="344"/>
      <c r="AG66" s="345"/>
    </row>
    <row r="67" spans="2:33" ht="15" customHeight="1" x14ac:dyDescent="0.15">
      <c r="B67" s="343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4"/>
      <c r="P67" s="344"/>
      <c r="Q67" s="344"/>
      <c r="R67" s="344"/>
      <c r="S67" s="344"/>
      <c r="T67" s="344"/>
      <c r="U67" s="344"/>
      <c r="V67" s="344"/>
      <c r="W67" s="344"/>
      <c r="X67" s="344"/>
      <c r="Y67" s="344"/>
      <c r="Z67" s="344"/>
      <c r="AA67" s="344"/>
      <c r="AB67" s="344"/>
      <c r="AC67" s="344"/>
      <c r="AD67" s="344"/>
      <c r="AE67" s="344"/>
      <c r="AF67" s="344"/>
      <c r="AG67" s="345"/>
    </row>
    <row r="68" spans="2:33" ht="15" customHeight="1" x14ac:dyDescent="0.15">
      <c r="B68" s="343"/>
      <c r="C68" s="344"/>
      <c r="D68" s="344"/>
      <c r="E68" s="344"/>
      <c r="F68" s="344"/>
      <c r="G68" s="344"/>
      <c r="H68" s="344"/>
      <c r="I68" s="344"/>
      <c r="J68" s="344"/>
      <c r="K68" s="344"/>
      <c r="L68" s="344"/>
      <c r="M68" s="344"/>
      <c r="N68" s="344"/>
      <c r="O68" s="344"/>
      <c r="P68" s="344"/>
      <c r="Q68" s="344"/>
      <c r="R68" s="344"/>
      <c r="S68" s="344"/>
      <c r="T68" s="344"/>
      <c r="U68" s="344"/>
      <c r="V68" s="344"/>
      <c r="W68" s="344"/>
      <c r="X68" s="344"/>
      <c r="Y68" s="344"/>
      <c r="Z68" s="344"/>
      <c r="AA68" s="344"/>
      <c r="AB68" s="344"/>
      <c r="AC68" s="344"/>
      <c r="AD68" s="344"/>
      <c r="AE68" s="344"/>
      <c r="AF68" s="344"/>
      <c r="AG68" s="345"/>
    </row>
    <row r="69" spans="2:33" ht="15" customHeight="1" thickBot="1" x14ac:dyDescent="0.2">
      <c r="B69" s="361"/>
      <c r="C69" s="362"/>
      <c r="D69" s="362"/>
      <c r="E69" s="362"/>
      <c r="F69" s="362"/>
      <c r="G69" s="362"/>
      <c r="H69" s="362"/>
      <c r="I69" s="362"/>
      <c r="J69" s="362"/>
      <c r="K69" s="362"/>
      <c r="L69" s="362"/>
      <c r="M69" s="362"/>
      <c r="N69" s="362"/>
      <c r="O69" s="362"/>
      <c r="P69" s="362"/>
      <c r="Q69" s="362"/>
      <c r="R69" s="362"/>
      <c r="S69" s="362"/>
      <c r="T69" s="362"/>
      <c r="U69" s="362"/>
      <c r="V69" s="362"/>
      <c r="W69" s="362"/>
      <c r="X69" s="362"/>
      <c r="Y69" s="362"/>
      <c r="Z69" s="362"/>
      <c r="AA69" s="362"/>
      <c r="AB69" s="362"/>
      <c r="AC69" s="362"/>
      <c r="AD69" s="362"/>
      <c r="AE69" s="362"/>
      <c r="AF69" s="362"/>
      <c r="AG69" s="363"/>
    </row>
  </sheetData>
  <mergeCells count="276">
    <mergeCell ref="Z32:AB32"/>
    <mergeCell ref="Z33:AB33"/>
    <mergeCell ref="Z34:AB34"/>
    <mergeCell ref="Z35:AB35"/>
    <mergeCell ref="B58:E58"/>
    <mergeCell ref="B57:E57"/>
    <mergeCell ref="AB59:AG59"/>
    <mergeCell ref="B60:E60"/>
    <mergeCell ref="F60:I60"/>
    <mergeCell ref="J60:K60"/>
    <mergeCell ref="L60:O60"/>
    <mergeCell ref="P60:Q60"/>
    <mergeCell ref="R60:S60"/>
    <mergeCell ref="T60:U60"/>
    <mergeCell ref="V60:W60"/>
    <mergeCell ref="AB60:AG60"/>
    <mergeCell ref="B59:E59"/>
    <mergeCell ref="F59:I59"/>
    <mergeCell ref="J59:K59"/>
    <mergeCell ref="L59:O59"/>
    <mergeCell ref="P59:Q59"/>
    <mergeCell ref="R59:S59"/>
    <mergeCell ref="T59:U59"/>
    <mergeCell ref="V59:W59"/>
    <mergeCell ref="X59:Y59"/>
    <mergeCell ref="X60:Y60"/>
    <mergeCell ref="F57:I57"/>
    <mergeCell ref="J57:K57"/>
    <mergeCell ref="L57:O57"/>
    <mergeCell ref="P57:Q57"/>
    <mergeCell ref="R57:S57"/>
    <mergeCell ref="T57:U57"/>
    <mergeCell ref="V57:W57"/>
    <mergeCell ref="X57:AA57"/>
    <mergeCell ref="Z56:AG56"/>
    <mergeCell ref="AB57:AG57"/>
    <mergeCell ref="Z54:AG54"/>
    <mergeCell ref="V56:W56"/>
    <mergeCell ref="F58:I58"/>
    <mergeCell ref="J58:K58"/>
    <mergeCell ref="L58:O58"/>
    <mergeCell ref="P58:Q58"/>
    <mergeCell ref="R58:S58"/>
    <mergeCell ref="T58:U58"/>
    <mergeCell ref="V58:W58"/>
    <mergeCell ref="X58:AA58"/>
    <mergeCell ref="AB58:AG58"/>
    <mergeCell ref="B56:E56"/>
    <mergeCell ref="J51:Q51"/>
    <mergeCell ref="J55:Q55"/>
    <mergeCell ref="J56:Q56"/>
    <mergeCell ref="R51:U51"/>
    <mergeCell ref="R55:U55"/>
    <mergeCell ref="R56:U56"/>
    <mergeCell ref="B54:E54"/>
    <mergeCell ref="J54:Q54"/>
    <mergeCell ref="R54:U54"/>
    <mergeCell ref="F52:G52"/>
    <mergeCell ref="F53:G53"/>
    <mergeCell ref="F54:G54"/>
    <mergeCell ref="F55:G55"/>
    <mergeCell ref="F56:G56"/>
    <mergeCell ref="B52:E52"/>
    <mergeCell ref="J52:Q52"/>
    <mergeCell ref="R52:U52"/>
    <mergeCell ref="B53:E53"/>
    <mergeCell ref="V49:Y49"/>
    <mergeCell ref="Z49:AC49"/>
    <mergeCell ref="V50:Y50"/>
    <mergeCell ref="Z50:AG50"/>
    <mergeCell ref="Z51:AG51"/>
    <mergeCell ref="Z55:AG55"/>
    <mergeCell ref="J49:M49"/>
    <mergeCell ref="N49:Q49"/>
    <mergeCell ref="R49:U49"/>
    <mergeCell ref="J50:Q50"/>
    <mergeCell ref="R50:U50"/>
    <mergeCell ref="J53:Q53"/>
    <mergeCell ref="R53:U53"/>
    <mergeCell ref="Z53:AG53"/>
    <mergeCell ref="AD49:AE49"/>
    <mergeCell ref="V51:W51"/>
    <mergeCell ref="V52:W52"/>
    <mergeCell ref="V53:W53"/>
    <mergeCell ref="V54:W54"/>
    <mergeCell ref="V55:W55"/>
    <mergeCell ref="Z52:AG52"/>
    <mergeCell ref="B49:E49"/>
    <mergeCell ref="B50:E50"/>
    <mergeCell ref="B51:E51"/>
    <mergeCell ref="B55:E55"/>
    <mergeCell ref="F49:I49"/>
    <mergeCell ref="F50:I50"/>
    <mergeCell ref="F51:G51"/>
    <mergeCell ref="D6:E6"/>
    <mergeCell ref="F6:G6"/>
    <mergeCell ref="H6:I6"/>
    <mergeCell ref="F38:Q38"/>
    <mergeCell ref="B27:E27"/>
    <mergeCell ref="Q13:Q14"/>
    <mergeCell ref="J8:L8"/>
    <mergeCell ref="J27:L27"/>
    <mergeCell ref="J23:L23"/>
    <mergeCell ref="J32:L32"/>
    <mergeCell ref="B20:E20"/>
    <mergeCell ref="B19:E19"/>
    <mergeCell ref="J16:L16"/>
    <mergeCell ref="B6:C6"/>
    <mergeCell ref="B7:C7"/>
    <mergeCell ref="F20:I20"/>
    <mergeCell ref="F21:I26"/>
    <mergeCell ref="J29:L29"/>
    <mergeCell ref="J28:L28"/>
    <mergeCell ref="J30:L30"/>
    <mergeCell ref="J31:L31"/>
    <mergeCell ref="D7:I7"/>
    <mergeCell ref="F13:I13"/>
    <mergeCell ref="R38:T38"/>
    <mergeCell ref="B33:I33"/>
    <mergeCell ref="B34:I35"/>
    <mergeCell ref="R33:T33"/>
    <mergeCell ref="J35:L35"/>
    <mergeCell ref="R34:T34"/>
    <mergeCell ref="J34:L34"/>
    <mergeCell ref="R35:T35"/>
    <mergeCell ref="R9:S10"/>
    <mergeCell ref="L9:M10"/>
    <mergeCell ref="R32:T32"/>
    <mergeCell ref="R31:T31"/>
    <mergeCell ref="J33:L33"/>
    <mergeCell ref="B28:B32"/>
    <mergeCell ref="C28:I32"/>
    <mergeCell ref="B14:E14"/>
    <mergeCell ref="B15:E15"/>
    <mergeCell ref="B16:E16"/>
    <mergeCell ref="AE37:AG37"/>
    <mergeCell ref="B37:AD37"/>
    <mergeCell ref="B48:AG48"/>
    <mergeCell ref="B38:E38"/>
    <mergeCell ref="B46:E46"/>
    <mergeCell ref="F39:AF39"/>
    <mergeCell ref="F40:AF40"/>
    <mergeCell ref="F41:AF41"/>
    <mergeCell ref="F42:AF42"/>
    <mergeCell ref="F43:AF43"/>
    <mergeCell ref="F44:AF44"/>
    <mergeCell ref="F45:AF45"/>
    <mergeCell ref="F46:AF46"/>
    <mergeCell ref="B45:E45"/>
    <mergeCell ref="J2:AE2"/>
    <mergeCell ref="B2:I2"/>
    <mergeCell ref="B44:E44"/>
    <mergeCell ref="B43:E43"/>
    <mergeCell ref="B39:E39"/>
    <mergeCell ref="B42:E42"/>
    <mergeCell ref="B41:E41"/>
    <mergeCell ref="B40:E40"/>
    <mergeCell ref="AD9:AE9"/>
    <mergeCell ref="AD10:AE10"/>
    <mergeCell ref="D3:I3"/>
    <mergeCell ref="D4:I4"/>
    <mergeCell ref="D5:I5"/>
    <mergeCell ref="N9:O10"/>
    <mergeCell ref="P9:Q10"/>
    <mergeCell ref="T3:V4"/>
    <mergeCell ref="J26:L26"/>
    <mergeCell ref="R25:T25"/>
    <mergeCell ref="J3:M3"/>
    <mergeCell ref="J13:L14"/>
    <mergeCell ref="M13:M14"/>
    <mergeCell ref="N13:N14"/>
    <mergeCell ref="O13:O14"/>
    <mergeCell ref="U38:AF38"/>
    <mergeCell ref="N5:P6"/>
    <mergeCell ref="R5:S6"/>
    <mergeCell ref="Z15:AB15"/>
    <mergeCell ref="Z18:AB18"/>
    <mergeCell ref="N3:P4"/>
    <mergeCell ref="R3:S4"/>
    <mergeCell ref="AD3:AE4"/>
    <mergeCell ref="Z5:AB6"/>
    <mergeCell ref="AD5:AE6"/>
    <mergeCell ref="X3:Y4"/>
    <mergeCell ref="T5:V6"/>
    <mergeCell ref="X5:Y6"/>
    <mergeCell ref="T7:V8"/>
    <mergeCell ref="AD7:AE8"/>
    <mergeCell ref="X7:Y8"/>
    <mergeCell ref="P13:P14"/>
    <mergeCell ref="AD13:AD14"/>
    <mergeCell ref="AE13:AE14"/>
    <mergeCell ref="Z28:AB28"/>
    <mergeCell ref="R23:T23"/>
    <mergeCell ref="R19:T19"/>
    <mergeCell ref="R22:T22"/>
    <mergeCell ref="Z29:AB29"/>
    <mergeCell ref="Z30:AB30"/>
    <mergeCell ref="B3:C3"/>
    <mergeCell ref="B4:C4"/>
    <mergeCell ref="B5:C5"/>
    <mergeCell ref="J24:L24"/>
    <mergeCell ref="J25:L25"/>
    <mergeCell ref="Z25:AB25"/>
    <mergeCell ref="Z24:AB24"/>
    <mergeCell ref="J18:L18"/>
    <mergeCell ref="R28:T28"/>
    <mergeCell ref="J17:L17"/>
    <mergeCell ref="R26:T26"/>
    <mergeCell ref="Z23:AB23"/>
    <mergeCell ref="Z22:AB22"/>
    <mergeCell ref="R18:T18"/>
    <mergeCell ref="R27:T27"/>
    <mergeCell ref="J22:L22"/>
    <mergeCell ref="Z7:AB8"/>
    <mergeCell ref="Z3:AB4"/>
    <mergeCell ref="B17:E17"/>
    <mergeCell ref="AC13:AC14"/>
    <mergeCell ref="Z20:AB20"/>
    <mergeCell ref="Z19:AB19"/>
    <mergeCell ref="R20:T20"/>
    <mergeCell ref="R21:T21"/>
    <mergeCell ref="Z17:AB17"/>
    <mergeCell ref="F15:I15"/>
    <mergeCell ref="F16:I16"/>
    <mergeCell ref="F17:I17"/>
    <mergeCell ref="J20:L20"/>
    <mergeCell ref="J19:L19"/>
    <mergeCell ref="J21:L21"/>
    <mergeCell ref="AF5:AG5"/>
    <mergeCell ref="AF6:AG6"/>
    <mergeCell ref="J9:K10"/>
    <mergeCell ref="AG13:AG14"/>
    <mergeCell ref="AF13:AF14"/>
    <mergeCell ref="R7:S8"/>
    <mergeCell ref="Z9:AA10"/>
    <mergeCell ref="N7:P8"/>
    <mergeCell ref="T9:W10"/>
    <mergeCell ref="B12:AE12"/>
    <mergeCell ref="B8:C10"/>
    <mergeCell ref="D8:I10"/>
    <mergeCell ref="R13:T14"/>
    <mergeCell ref="U13:U14"/>
    <mergeCell ref="V13:V14"/>
    <mergeCell ref="W13:W14"/>
    <mergeCell ref="F14:I14"/>
    <mergeCell ref="X13:X14"/>
    <mergeCell ref="Z13:AB14"/>
    <mergeCell ref="Y13:Y14"/>
    <mergeCell ref="AB9:AC9"/>
    <mergeCell ref="B13:E13"/>
    <mergeCell ref="X9:Y10"/>
    <mergeCell ref="AB10:AC10"/>
    <mergeCell ref="B62:AG62"/>
    <mergeCell ref="B63:AG69"/>
    <mergeCell ref="J15:L15"/>
    <mergeCell ref="F19:I19"/>
    <mergeCell ref="B21:E21"/>
    <mergeCell ref="B22:E22"/>
    <mergeCell ref="B23:E23"/>
    <mergeCell ref="B24:E24"/>
    <mergeCell ref="B25:E25"/>
    <mergeCell ref="B26:E26"/>
    <mergeCell ref="B18:E18"/>
    <mergeCell ref="F18:I18"/>
    <mergeCell ref="R17:T17"/>
    <mergeCell ref="R24:T24"/>
    <mergeCell ref="Z21:AB21"/>
    <mergeCell ref="R15:T15"/>
    <mergeCell ref="R16:T16"/>
    <mergeCell ref="Z16:AB16"/>
    <mergeCell ref="Z31:AB31"/>
    <mergeCell ref="R29:T29"/>
    <mergeCell ref="F27:I27"/>
    <mergeCell ref="Z26:AB26"/>
    <mergeCell ref="R30:T30"/>
    <mergeCell ref="Z27:AB27"/>
  </mergeCells>
  <phoneticPr fontId="4" type="noConversion"/>
  <conditionalFormatting sqref="H11 H36 H47">
    <cfRule type="expression" dxfId="7" priority="22">
      <formula>hprate&lt;0.15</formula>
    </cfRule>
    <cfRule type="expression" dxfId="6" priority="23">
      <formula>AND(hprate&lt;0.5,hprate&gt;=0.15)</formula>
    </cfRule>
    <cfRule type="expression" dxfId="5" priority="24">
      <formula>hprate&gt;=0.5</formula>
    </cfRule>
  </conditionalFormatting>
  <conditionalFormatting sqref="B19:B26">
    <cfRule type="containsText" dxfId="4" priority="9" operator="containsText" text="相关">
      <formula>NOT(ISERROR(SEARCH("相关",B19)))</formula>
    </cfRule>
    <cfRule type="containsText" dxfId="3" priority="10" operator="containsText" text="自选">
      <formula>NOT(ISERROR(SEARCH("自选",B19)))</formula>
    </cfRule>
  </conditionalFormatting>
  <dataValidations xWindow="809" yWindow="410" count="20">
    <dataValidation type="list" showInputMessage="1" showErrorMessage="1" errorTitle="不要扶他" error="必须为男性或女性" sqref="H6:I6">
      <formula1>"男,女"</formula1>
    </dataValidation>
    <dataValidation allowBlank="1" showInputMessage="1" showErrorMessage="1" prompt="本团的时代背景" sqref="B2:I2"/>
    <dataValidation allowBlank="1" showInputMessage="1" showErrorMessage="1" prompt="调查员的姓名" sqref="D3:I3"/>
    <dataValidation allowBlank="1" showInputMessage="1" showErrorMessage="1" prompt="调查员扮演玩家的称呼" sqref="D4:I4"/>
    <dataValidation type="whole" errorStyle="warning" allowBlank="1" showInputMessage="1" showErrorMessage="1" errorTitle="年龄超限" error="调查员年龄应在15岁和90岁之间" sqref="D6:E6">
      <formula1>15</formula1>
      <formula2>90</formula2>
    </dataValidation>
    <dataValidation type="whole" errorStyle="warning" allowBlank="1" showInputMessage="1" showErrorMessage="1" errorTitle="掷骰结果检查" error="掷骰结果应在3-18之间" prompt="3D6" sqref="M8 M6 M4 K7 K4:K5">
      <formula1>3</formula1>
      <formula2>18</formula2>
    </dataValidation>
    <dataValidation type="whole" errorStyle="warning" allowBlank="1" showInputMessage="1" showErrorMessage="1" errorTitle="掷骰结果检查" error="掷骰结果应在8-18之间" prompt="2D6+6" sqref="M7 M5 K6">
      <formula1>3</formula1>
      <formula2>18</formula2>
    </dataValidation>
    <dataValidation allowBlank="1" showInputMessage="1" showErrorMessage="1" promptTitle="STR五倍掷骰值" prompt="此值是掷骰结果乘以5的值。如果你们使用快速开桌方案，可以直接在此处修改，其他属性均相同。" sqref="Q3"/>
    <dataValidation allowBlank="1" showInputMessage="1" showErrorMessage="1" promptTitle="STR永久修正" prompt="这里填写年龄、经历等原因造成的永久STR修正。其他属性均相同。" sqref="Q4"/>
    <dataValidation allowBlank="1" showInputMessage="1" showErrorMessage="1" promptTitle="常时STR" prompt="这是基本的STR值，请不要在此格中修改。其他属性均相同。" sqref="R3:S4"/>
    <dataValidation allowBlank="1" showInputMessage="1" showErrorMessage="1" promptTitle="年龄MOV修正" prompt="本格中自动计算出年龄对MOV的修正，不必手动修改。" sqref="AC8"/>
    <dataValidation allowBlank="1" showInputMessage="1" showErrorMessage="1" prompt="本格不必手动修改" sqref="AC7"/>
    <dataValidation allowBlank="1" showInputMessage="1" showErrorMessage="1" promptTitle="MOV基本值" prompt="正常情况下使用的MOV数值。不必手动修改。" sqref="AD7:AE8"/>
    <dataValidation allowBlank="1" showInputMessage="1" showErrorMessage="1" promptTitle="常时db" prompt="根据永久属性值计算的伤害加值" sqref="AD9:AE9"/>
    <dataValidation allowBlank="1" showInputMessage="1" showErrorMessage="1" promptTitle="常时体格" prompt="通常的体格值" sqref="AD10:AE10"/>
    <dataValidation allowBlank="1" showInputMessage="1" showErrorMessage="1" promptTitle="有关购点开团" prompt="此处不统计修正值，请直接将分配的点数填入彩色条纹格" sqref="AF6:AG6"/>
    <dataValidation allowBlank="1" showInputMessage="1" showErrorMessage="1" promptTitle="换行控制" prompt="输入任意字符，可以控制该行所占的行数，显示出所有的人物背景信息" sqref="AE37:AG37"/>
    <dataValidation allowBlank="1" showInputMessage="1" showErrorMessage="1" promptTitle="非常规技能" prompt="根据职业自动填写的非常规技能。不要自行填写。" sqref="Z28:AB28"/>
    <dataValidation allowBlank="1" showInputMessage="1" showErrorMessage="1" promptTitle="科学分项" prompt="某些科学分项的初始值不是10%，请按规则书说明填写" sqref="AC18"/>
    <dataValidation type="list" allowBlank="1" showInputMessage="1" showErrorMessage="1" sqref="F27:I27">
      <formula1>"工薪,中流,上流"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copy_background">
                <anchor moveWithCells="1" sizeWithCells="1">
                  <from>
                    <xdr:col>26</xdr:col>
                    <xdr:colOff>66675</xdr:colOff>
                    <xdr:row>36</xdr:row>
                    <xdr:rowOff>47625</xdr:rowOff>
                  </from>
                  <to>
                    <xdr:col>30</xdr:col>
                    <xdr:colOff>114300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" name="Button 20">
              <controlPr defaultSize="0" print="0" autoFill="0" autoPict="0" macro="[0]!copy_buying">
                <anchor moveWithCells="1" sizeWithCells="1">
                  <from>
                    <xdr:col>27</xdr:col>
                    <xdr:colOff>161925</xdr:colOff>
                    <xdr:row>47</xdr:row>
                    <xdr:rowOff>47625</xdr:rowOff>
                  </from>
                  <to>
                    <xdr:col>32</xdr:col>
                    <xdr:colOff>123825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roll_baseattr">
                <anchor moveWithCells="1" sizeWithCells="1">
                  <from>
                    <xdr:col>33</xdr:col>
                    <xdr:colOff>228600</xdr:colOff>
                    <xdr:row>2</xdr:row>
                    <xdr:rowOff>133350</xdr:rowOff>
                  </from>
                  <to>
                    <xdr:col>38</xdr:col>
                    <xdr:colOff>104775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09" yWindow="410" count="1">
        <x14:dataValidation type="list" allowBlank="1" showInputMessage="1" promptTitle="本职模板" prompt="在克苏鲁时空穿梭书中出现的职业有*标记">
          <x14:formula1>
            <xm:f>本职技能!$A:$A</xm:f>
          </x14:formula1>
          <xm:sqref>D5:I5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1CD"/>
  </sheetPr>
  <dimension ref="A1:AZ58"/>
  <sheetViews>
    <sheetView showGridLines="0" zoomScale="85" zoomScaleNormal="85" workbookViewId="0">
      <selection activeCell="AA14" sqref="AA14:AB14"/>
    </sheetView>
  </sheetViews>
  <sheetFormatPr defaultColWidth="3.375" defaultRowHeight="15" customHeight="1" x14ac:dyDescent="0.15"/>
  <cols>
    <col min="1" max="31" width="3.375" style="101"/>
    <col min="32" max="32" width="3.375" style="101" customWidth="1"/>
    <col min="33" max="33" width="3.375" style="101"/>
    <col min="34" max="34" width="3.375" style="101" customWidth="1"/>
    <col min="35" max="16384" width="3.375" style="101"/>
  </cols>
  <sheetData>
    <row r="1" spans="2:52" ht="7.5" customHeight="1" thickBot="1" x14ac:dyDescent="0.2">
      <c r="B1" s="101" t="str">
        <f>IF(◆主要表◆!D3="","无名氏","")</f>
        <v/>
      </c>
    </row>
    <row r="2" spans="2:52" s="110" customFormat="1" ht="30" customHeight="1" x14ac:dyDescent="0.5">
      <c r="B2" s="102" t="s">
        <v>247</v>
      </c>
      <c r="C2" s="103"/>
      <c r="D2" s="103"/>
      <c r="E2" s="103"/>
      <c r="F2" s="103"/>
      <c r="G2" s="103"/>
      <c r="H2" s="103"/>
      <c r="I2" s="104"/>
      <c r="J2" s="105" t="s">
        <v>248</v>
      </c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7"/>
      <c r="AF2" s="108"/>
      <c r="AG2" s="108"/>
      <c r="AH2" s="108"/>
      <c r="AI2" s="108"/>
      <c r="AJ2" s="108"/>
      <c r="AK2" s="109"/>
    </row>
    <row r="3" spans="2:52" ht="15" customHeight="1" x14ac:dyDescent="0.15">
      <c r="B3" s="111" t="s">
        <v>249</v>
      </c>
      <c r="C3" s="112"/>
      <c r="D3" s="113">
        <f>建卡!D3</f>
        <v>0</v>
      </c>
      <c r="E3" s="113"/>
      <c r="F3" s="113"/>
      <c r="G3" s="113"/>
      <c r="H3" s="113"/>
      <c r="I3" s="114"/>
      <c r="J3" s="115" t="s">
        <v>250</v>
      </c>
      <c r="K3" s="116"/>
      <c r="L3" s="117"/>
      <c r="M3" s="118">
        <f>str</f>
        <v>30</v>
      </c>
      <c r="N3" s="76">
        <f>M3+M4</f>
        <v>30</v>
      </c>
      <c r="O3" s="76"/>
      <c r="P3" s="119">
        <f>INT(cstr/2)</f>
        <v>15</v>
      </c>
      <c r="Q3" s="120" t="s">
        <v>251</v>
      </c>
      <c r="R3" s="120"/>
      <c r="S3" s="120"/>
      <c r="T3" s="118">
        <f>dex</f>
        <v>45</v>
      </c>
      <c r="U3" s="76">
        <f>T3+T4</f>
        <v>45</v>
      </c>
      <c r="V3" s="76"/>
      <c r="W3" s="119">
        <f>INT(cdex/2)</f>
        <v>22</v>
      </c>
      <c r="X3" s="120" t="s">
        <v>252</v>
      </c>
      <c r="Y3" s="120"/>
      <c r="Z3" s="120"/>
      <c r="AA3" s="118">
        <f>pow</f>
        <v>60</v>
      </c>
      <c r="AB3" s="76">
        <f>AA3+AA4</f>
        <v>60</v>
      </c>
      <c r="AC3" s="76"/>
      <c r="AD3" s="121">
        <f>INT(cpow/2)</f>
        <v>30</v>
      </c>
      <c r="AE3" s="122"/>
      <c r="AF3" s="123"/>
      <c r="AG3" s="123"/>
      <c r="AH3" s="123"/>
      <c r="AI3" s="123"/>
      <c r="AJ3" s="123"/>
      <c r="AK3" s="124"/>
    </row>
    <row r="4" spans="2:52" ht="15" customHeight="1" x14ac:dyDescent="0.15">
      <c r="B4" s="111" t="s">
        <v>253</v>
      </c>
      <c r="C4" s="112"/>
      <c r="D4" s="113">
        <f>建卡!D4</f>
        <v>0</v>
      </c>
      <c r="E4" s="113"/>
      <c r="F4" s="113"/>
      <c r="G4" s="113"/>
      <c r="H4" s="113"/>
      <c r="I4" s="114"/>
      <c r="J4" s="125"/>
      <c r="K4" s="126"/>
      <c r="L4" s="127"/>
      <c r="M4" s="128">
        <v>0</v>
      </c>
      <c r="N4" s="76"/>
      <c r="O4" s="76"/>
      <c r="P4" s="129">
        <f>INT(cstr/5)</f>
        <v>6</v>
      </c>
      <c r="Q4" s="120"/>
      <c r="R4" s="120"/>
      <c r="S4" s="120"/>
      <c r="T4" s="128">
        <v>0</v>
      </c>
      <c r="U4" s="76"/>
      <c r="V4" s="76"/>
      <c r="W4" s="129">
        <f>INT(cdex/5)</f>
        <v>9</v>
      </c>
      <c r="X4" s="120"/>
      <c r="Y4" s="120"/>
      <c r="Z4" s="120"/>
      <c r="AA4" s="128">
        <v>0</v>
      </c>
      <c r="AB4" s="76"/>
      <c r="AC4" s="76"/>
      <c r="AD4" s="130">
        <f>INT(cpow/5)</f>
        <v>12</v>
      </c>
      <c r="AE4" s="122"/>
      <c r="AF4" s="123"/>
      <c r="AG4" s="123"/>
      <c r="AH4" s="123"/>
      <c r="AI4" s="123"/>
      <c r="AJ4" s="123"/>
      <c r="AK4" s="124"/>
    </row>
    <row r="5" spans="2:52" ht="15" customHeight="1" x14ac:dyDescent="0.15">
      <c r="B5" s="111" t="s">
        <v>254</v>
      </c>
      <c r="C5" s="112"/>
      <c r="D5" s="131" t="str">
        <f>建卡!D5</f>
        <v>（待定）</v>
      </c>
      <c r="E5" s="131"/>
      <c r="F5" s="131"/>
      <c r="G5" s="131"/>
      <c r="H5" s="131"/>
      <c r="I5" s="132"/>
      <c r="J5" s="133" t="s">
        <v>255</v>
      </c>
      <c r="K5" s="120"/>
      <c r="L5" s="120"/>
      <c r="M5" s="118">
        <f>con</f>
        <v>35</v>
      </c>
      <c r="N5" s="76">
        <f>M5+M6</f>
        <v>35</v>
      </c>
      <c r="O5" s="76"/>
      <c r="P5" s="119">
        <f>INT(ccon/2)</f>
        <v>17</v>
      </c>
      <c r="Q5" s="120" t="s">
        <v>256</v>
      </c>
      <c r="R5" s="120"/>
      <c r="S5" s="120"/>
      <c r="T5" s="118">
        <f>app</f>
        <v>50</v>
      </c>
      <c r="U5" s="76">
        <f>T5+T6</f>
        <v>50</v>
      </c>
      <c r="V5" s="76"/>
      <c r="W5" s="119">
        <f>INT(capp/2)</f>
        <v>25</v>
      </c>
      <c r="X5" s="120" t="s">
        <v>257</v>
      </c>
      <c r="Y5" s="120"/>
      <c r="Z5" s="120"/>
      <c r="AA5" s="118">
        <f>edu</f>
        <v>65</v>
      </c>
      <c r="AB5" s="76">
        <f>AA5+AA6</f>
        <v>65</v>
      </c>
      <c r="AC5" s="76"/>
      <c r="AD5" s="121">
        <f>INT(AB5/2)</f>
        <v>32</v>
      </c>
      <c r="AE5" s="122"/>
      <c r="AF5" s="123"/>
      <c r="AG5" s="123"/>
      <c r="AH5" s="123"/>
      <c r="AI5" s="123"/>
      <c r="AJ5" s="123"/>
      <c r="AK5" s="124"/>
    </row>
    <row r="6" spans="2:52" ht="15" customHeight="1" x14ac:dyDescent="0.15">
      <c r="B6" s="111" t="s">
        <v>258</v>
      </c>
      <c r="C6" s="112"/>
      <c r="D6" s="134">
        <f>age</f>
        <v>20</v>
      </c>
      <c r="E6" s="135"/>
      <c r="F6" s="112" t="s">
        <v>259</v>
      </c>
      <c r="G6" s="112"/>
      <c r="H6" s="136">
        <f>建卡!H6</f>
        <v>0</v>
      </c>
      <c r="I6" s="137"/>
      <c r="J6" s="133"/>
      <c r="K6" s="120"/>
      <c r="L6" s="120"/>
      <c r="M6" s="128">
        <v>0</v>
      </c>
      <c r="N6" s="76"/>
      <c r="O6" s="76"/>
      <c r="P6" s="129">
        <f>INT(ccon/5)</f>
        <v>7</v>
      </c>
      <c r="Q6" s="120"/>
      <c r="R6" s="120"/>
      <c r="S6" s="120"/>
      <c r="T6" s="128">
        <v>0</v>
      </c>
      <c r="U6" s="76"/>
      <c r="V6" s="76"/>
      <c r="W6" s="129">
        <f>INT(capp/5)</f>
        <v>10</v>
      </c>
      <c r="X6" s="120"/>
      <c r="Y6" s="120"/>
      <c r="Z6" s="120"/>
      <c r="AA6" s="128">
        <v>0</v>
      </c>
      <c r="AB6" s="76"/>
      <c r="AC6" s="76"/>
      <c r="AD6" s="130">
        <f>INT(AB5/5)</f>
        <v>13</v>
      </c>
      <c r="AE6" s="122"/>
      <c r="AF6" s="123"/>
      <c r="AG6" s="123"/>
      <c r="AH6" s="123"/>
      <c r="AI6" s="123"/>
      <c r="AJ6" s="123"/>
      <c r="AK6" s="124"/>
    </row>
    <row r="7" spans="2:52" ht="15" customHeight="1" thickBot="1" x14ac:dyDescent="0.2">
      <c r="B7" s="111" t="s">
        <v>260</v>
      </c>
      <c r="C7" s="112"/>
      <c r="D7" s="138"/>
      <c r="E7" s="139"/>
      <c r="F7" s="139"/>
      <c r="G7" s="139"/>
      <c r="H7" s="139"/>
      <c r="I7" s="140"/>
      <c r="J7" s="133" t="s">
        <v>261</v>
      </c>
      <c r="K7" s="120"/>
      <c r="L7" s="120"/>
      <c r="M7" s="118">
        <f>siz</f>
        <v>40</v>
      </c>
      <c r="N7" s="78">
        <f>M7+M8</f>
        <v>40</v>
      </c>
      <c r="O7" s="79"/>
      <c r="P7" s="119">
        <f>INT(csiz/2)</f>
        <v>20</v>
      </c>
      <c r="Q7" s="141" t="s">
        <v>262</v>
      </c>
      <c r="R7" s="112"/>
      <c r="S7" s="112"/>
      <c r="T7" s="118">
        <f>int</f>
        <v>55</v>
      </c>
      <c r="U7" s="76">
        <f>T7+T8</f>
        <v>55</v>
      </c>
      <c r="V7" s="76"/>
      <c r="W7" s="119">
        <f>INT(cint/2)</f>
        <v>27</v>
      </c>
      <c r="X7" s="142" t="s">
        <v>263</v>
      </c>
      <c r="Y7" s="142"/>
      <c r="Z7" s="142"/>
      <c r="AA7" s="118">
        <f>IF(AND(cstr&lt;csiz,cdex&lt;csiz),7,IF(AND(cstr&gt;csiz,cdex&gt;csiz),9,8))+建卡!AC8</f>
        <v>8</v>
      </c>
      <c r="AB7" s="76">
        <f>AA7+AA8</f>
        <v>8</v>
      </c>
      <c r="AC7" s="76"/>
      <c r="AD7" s="143"/>
      <c r="AE7" s="122"/>
      <c r="AF7" s="123"/>
      <c r="AG7" s="123"/>
      <c r="AH7" s="123"/>
      <c r="AI7" s="123"/>
      <c r="AJ7" s="123"/>
      <c r="AK7" s="124"/>
    </row>
    <row r="8" spans="2:52" s="152" customFormat="1" ht="15" customHeight="1" thickBot="1" x14ac:dyDescent="0.2">
      <c r="B8" s="111" t="s">
        <v>264</v>
      </c>
      <c r="C8" s="112"/>
      <c r="D8" s="144"/>
      <c r="E8" s="144"/>
      <c r="F8" s="144"/>
      <c r="G8" s="144"/>
      <c r="H8" s="144"/>
      <c r="I8" s="145"/>
      <c r="J8" s="146"/>
      <c r="K8" s="147"/>
      <c r="L8" s="147"/>
      <c r="M8" s="148">
        <v>0</v>
      </c>
      <c r="N8" s="80"/>
      <c r="O8" s="81"/>
      <c r="P8" s="149">
        <f>INT(csiz/5)</f>
        <v>8</v>
      </c>
      <c r="Q8" s="112"/>
      <c r="R8" s="112"/>
      <c r="S8" s="112"/>
      <c r="T8" s="148">
        <v>0</v>
      </c>
      <c r="U8" s="77"/>
      <c r="V8" s="77"/>
      <c r="W8" s="149">
        <f>INT(cint/5)</f>
        <v>11</v>
      </c>
      <c r="X8" s="150"/>
      <c r="Y8" s="150"/>
      <c r="Z8" s="150"/>
      <c r="AA8" s="148">
        <v>0</v>
      </c>
      <c r="AB8" s="77"/>
      <c r="AC8" s="77"/>
      <c r="AD8" s="151"/>
      <c r="AE8" s="122"/>
      <c r="AF8" s="123"/>
      <c r="AG8" s="123"/>
      <c r="AH8" s="123"/>
      <c r="AI8" s="123"/>
      <c r="AJ8" s="123"/>
      <c r="AK8" s="124"/>
      <c r="AM8" s="153" t="s">
        <v>116</v>
      </c>
      <c r="AN8" s="154"/>
      <c r="AO8" s="88">
        <f>hp</f>
        <v>7</v>
      </c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9"/>
    </row>
    <row r="9" spans="2:52" ht="15" customHeight="1" thickTop="1" x14ac:dyDescent="0.15">
      <c r="B9" s="111" t="s">
        <v>265</v>
      </c>
      <c r="C9" s="112"/>
      <c r="D9" s="144" t="str">
        <f>建卡!F27</f>
        <v>工薪</v>
      </c>
      <c r="E9" s="144"/>
      <c r="F9" s="144"/>
      <c r="G9" s="144"/>
      <c r="H9" s="144"/>
      <c r="I9" s="145"/>
      <c r="J9" s="155" t="s">
        <v>64</v>
      </c>
      <c r="K9" s="156"/>
      <c r="L9" s="82">
        <f>maxhp</f>
        <v>7</v>
      </c>
      <c r="M9" s="82"/>
      <c r="N9" s="157" t="s">
        <v>65</v>
      </c>
      <c r="O9" s="156"/>
      <c r="P9" s="82">
        <f>N10</f>
        <v>12</v>
      </c>
      <c r="Q9" s="82"/>
      <c r="R9" s="157" t="s">
        <v>63</v>
      </c>
      <c r="S9" s="156"/>
      <c r="T9" s="84">
        <f>pow-建卡!I27</f>
        <v>60</v>
      </c>
      <c r="U9" s="85"/>
      <c r="V9" s="158" t="s">
        <v>266</v>
      </c>
      <c r="W9" s="159"/>
      <c r="X9" s="82">
        <f>建卡!Z9</f>
        <v>70</v>
      </c>
      <c r="Y9" s="82"/>
      <c r="Z9" s="160" t="s">
        <v>115</v>
      </c>
      <c r="AA9" s="161"/>
      <c r="AB9" s="162" t="str">
        <f>dmgbonus</f>
        <v>-1</v>
      </c>
      <c r="AC9" s="162"/>
      <c r="AD9" s="151"/>
      <c r="AE9" s="122"/>
      <c r="AF9" s="123"/>
      <c r="AG9" s="123"/>
      <c r="AH9" s="123"/>
      <c r="AI9" s="123"/>
      <c r="AJ9" s="123"/>
      <c r="AK9" s="124"/>
      <c r="AM9" s="163" t="s">
        <v>117</v>
      </c>
      <c r="AN9" s="164"/>
      <c r="AO9" s="90">
        <f>mp</f>
        <v>12</v>
      </c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1"/>
    </row>
    <row r="10" spans="2:52" ht="15" customHeight="1" x14ac:dyDescent="0.15">
      <c r="B10" s="111"/>
      <c r="C10" s="112"/>
      <c r="D10" s="165"/>
      <c r="E10" s="165"/>
      <c r="F10" s="165"/>
      <c r="G10" s="165"/>
      <c r="H10" s="165"/>
      <c r="I10" s="166"/>
      <c r="J10" s="167">
        <f>maxhp</f>
        <v>7</v>
      </c>
      <c r="K10" s="168"/>
      <c r="L10" s="83"/>
      <c r="M10" s="83"/>
      <c r="N10" s="169">
        <f>maxmp</f>
        <v>12</v>
      </c>
      <c r="O10" s="170"/>
      <c r="P10" s="83"/>
      <c r="Q10" s="83"/>
      <c r="R10" s="169">
        <f>99-cthmy</f>
        <v>99</v>
      </c>
      <c r="S10" s="170"/>
      <c r="T10" s="86"/>
      <c r="U10" s="87"/>
      <c r="V10" s="112"/>
      <c r="W10" s="112"/>
      <c r="X10" s="83"/>
      <c r="Y10" s="83"/>
      <c r="Z10" s="171" t="s">
        <v>267</v>
      </c>
      <c r="AA10" s="112"/>
      <c r="AB10" s="172">
        <f>build</f>
        <v>-1</v>
      </c>
      <c r="AC10" s="172"/>
      <c r="AD10" s="151"/>
      <c r="AE10" s="122"/>
      <c r="AF10" s="123"/>
      <c r="AG10" s="123"/>
      <c r="AH10" s="123"/>
      <c r="AI10" s="123"/>
      <c r="AJ10" s="123"/>
      <c r="AK10" s="124"/>
      <c r="AM10" s="163" t="s">
        <v>118</v>
      </c>
      <c r="AN10" s="164"/>
      <c r="AO10" s="90">
        <f>san</f>
        <v>60</v>
      </c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1"/>
    </row>
    <row r="11" spans="2:52" ht="15" customHeight="1" thickBot="1" x14ac:dyDescent="0.2">
      <c r="B11" s="111"/>
      <c r="C11" s="112"/>
      <c r="D11" s="165"/>
      <c r="E11" s="165"/>
      <c r="F11" s="165"/>
      <c r="G11" s="165"/>
      <c r="H11" s="165"/>
      <c r="I11" s="166"/>
      <c r="J11" s="173" t="s">
        <v>268</v>
      </c>
      <c r="K11" s="174"/>
      <c r="L11" s="174"/>
      <c r="M11" s="175"/>
      <c r="N11" s="176"/>
      <c r="O11" s="176"/>
      <c r="P11" s="177"/>
      <c r="Q11" s="178">
        <v>0</v>
      </c>
      <c r="R11" s="179" t="s">
        <v>269</v>
      </c>
      <c r="S11" s="180"/>
      <c r="T11" s="179" t="s">
        <v>270</v>
      </c>
      <c r="U11" s="180"/>
      <c r="V11" s="179" t="s">
        <v>271</v>
      </c>
      <c r="W11" s="180"/>
      <c r="X11" s="181" t="s">
        <v>272</v>
      </c>
      <c r="Y11" s="182"/>
      <c r="Z11" s="171"/>
      <c r="AA11" s="183" t="s">
        <v>273</v>
      </c>
      <c r="AB11" s="183"/>
      <c r="AC11" s="180"/>
      <c r="AD11" s="151"/>
      <c r="AE11" s="122"/>
      <c r="AF11" s="123"/>
      <c r="AG11" s="123"/>
      <c r="AH11" s="123"/>
      <c r="AI11" s="123"/>
      <c r="AJ11" s="123"/>
      <c r="AK11" s="124"/>
      <c r="AM11" s="184" t="s">
        <v>119</v>
      </c>
      <c r="AN11" s="185"/>
      <c r="AO11" s="92">
        <f>luck</f>
        <v>70</v>
      </c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3"/>
    </row>
    <row r="12" spans="2:52" s="191" customFormat="1" ht="15" customHeight="1" x14ac:dyDescent="0.15">
      <c r="B12" s="111"/>
      <c r="C12" s="112"/>
      <c r="D12" s="165"/>
      <c r="E12" s="165"/>
      <c r="F12" s="165"/>
      <c r="G12" s="165"/>
      <c r="H12" s="165"/>
      <c r="I12" s="166"/>
      <c r="J12" s="173" t="s">
        <v>274</v>
      </c>
      <c r="K12" s="174"/>
      <c r="L12" s="174"/>
      <c r="M12" s="175"/>
      <c r="N12" s="176"/>
      <c r="O12" s="176"/>
      <c r="P12" s="177"/>
      <c r="Q12" s="178">
        <v>0</v>
      </c>
      <c r="R12" s="186" t="b">
        <v>0</v>
      </c>
      <c r="S12" s="186"/>
      <c r="T12" s="186" t="b">
        <v>0</v>
      </c>
      <c r="U12" s="186"/>
      <c r="V12" s="186" t="b">
        <v>0</v>
      </c>
      <c r="W12" s="186"/>
      <c r="X12" s="186" t="b">
        <v>0</v>
      </c>
      <c r="Y12" s="186"/>
      <c r="Z12" s="186"/>
      <c r="AA12" s="186" t="b">
        <v>0</v>
      </c>
      <c r="AB12" s="186"/>
      <c r="AC12" s="186"/>
      <c r="AD12" s="187"/>
      <c r="AE12" s="188"/>
      <c r="AF12" s="189"/>
      <c r="AG12" s="189"/>
      <c r="AH12" s="189"/>
      <c r="AI12" s="189"/>
      <c r="AJ12" s="189"/>
      <c r="AK12" s="190"/>
    </row>
    <row r="13" spans="2:52" s="191" customFormat="1" ht="7.5" customHeight="1" thickBot="1" x14ac:dyDescent="0.2">
      <c r="B13" s="192"/>
      <c r="C13" s="193"/>
      <c r="D13" s="193"/>
      <c r="E13" s="193"/>
      <c r="F13" s="193"/>
      <c r="G13" s="193"/>
      <c r="H13" s="194"/>
      <c r="I13" s="194"/>
      <c r="J13" s="194"/>
      <c r="K13" s="194"/>
      <c r="L13" s="194"/>
      <c r="M13" s="194"/>
      <c r="N13" s="194"/>
      <c r="O13" s="195"/>
      <c r="P13" s="195"/>
      <c r="Q13" s="195"/>
      <c r="R13" s="195"/>
      <c r="S13" s="195"/>
      <c r="T13" s="195"/>
      <c r="U13" s="195"/>
      <c r="V13" s="194"/>
      <c r="W13" s="194"/>
      <c r="X13" s="194"/>
      <c r="Y13" s="194"/>
      <c r="AK13" s="196"/>
    </row>
    <row r="14" spans="2:52" ht="24.95" customHeight="1" x14ac:dyDescent="0.25">
      <c r="B14" s="197" t="s">
        <v>275</v>
      </c>
      <c r="C14" s="198"/>
      <c r="D14" s="199"/>
      <c r="E14" s="200" t="s">
        <v>276</v>
      </c>
      <c r="F14" s="200"/>
      <c r="G14" s="199" t="s">
        <v>78</v>
      </c>
      <c r="H14" s="201" t="s">
        <v>277</v>
      </c>
      <c r="I14" s="45" t="s">
        <v>76</v>
      </c>
      <c r="J14" s="45" t="s">
        <v>77</v>
      </c>
      <c r="K14" s="202" t="s">
        <v>278</v>
      </c>
      <c r="L14" s="202"/>
      <c r="M14" s="202"/>
      <c r="N14" s="202"/>
      <c r="O14" s="202"/>
      <c r="P14" s="202"/>
      <c r="Q14" s="202"/>
      <c r="R14" s="202"/>
      <c r="S14" s="202"/>
      <c r="T14" s="198" t="s">
        <v>279</v>
      </c>
      <c r="U14" s="198"/>
      <c r="V14" s="199"/>
      <c r="W14" s="200" t="s">
        <v>280</v>
      </c>
      <c r="X14" s="200"/>
      <c r="Y14" s="199" t="s">
        <v>78</v>
      </c>
      <c r="Z14" s="201" t="s">
        <v>281</v>
      </c>
      <c r="AA14" s="45" t="s">
        <v>76</v>
      </c>
      <c r="AB14" s="46" t="s">
        <v>77</v>
      </c>
      <c r="AC14" s="202" t="s">
        <v>282</v>
      </c>
      <c r="AD14" s="202"/>
      <c r="AE14" s="202"/>
      <c r="AF14" s="202"/>
      <c r="AG14" s="202"/>
      <c r="AH14" s="202"/>
      <c r="AI14" s="202"/>
      <c r="AJ14" s="202"/>
      <c r="AK14" s="203"/>
    </row>
    <row r="15" spans="2:52" ht="15" customHeight="1" x14ac:dyDescent="0.15">
      <c r="B15" s="204"/>
      <c r="C15" s="205" t="str">
        <f>建卡!$J$15</f>
        <v>会计</v>
      </c>
      <c r="D15" s="206"/>
      <c r="E15" s="207"/>
      <c r="F15" s="208">
        <f>建卡!$Q$15</f>
        <v>5</v>
      </c>
      <c r="G15" s="209"/>
      <c r="H15" s="210">
        <f t="shared" ref="H15:H35" si="0">SUM(F15:G15)</f>
        <v>5</v>
      </c>
      <c r="I15" s="211">
        <f>INT(H15/2)</f>
        <v>2</v>
      </c>
      <c r="J15" s="212">
        <f>INT(H15/5)</f>
        <v>1</v>
      </c>
      <c r="K15" s="213"/>
      <c r="L15" s="205" t="str">
        <f>建卡!$R$15</f>
        <v>射击分项</v>
      </c>
      <c r="M15" s="206"/>
      <c r="N15" s="207"/>
      <c r="O15" s="214">
        <f>建卡!$Y$15</f>
        <v>1</v>
      </c>
      <c r="P15" s="215"/>
      <c r="Q15" s="210">
        <f t="shared" ref="Q15:Q35" si="1">SUM(O15:P15)</f>
        <v>1</v>
      </c>
      <c r="R15" s="211">
        <f>INT(Q15/2)</f>
        <v>0</v>
      </c>
      <c r="S15" s="212">
        <f>INT(Q15/5)</f>
        <v>0</v>
      </c>
      <c r="T15" s="216"/>
      <c r="U15" s="205" t="str">
        <f>建卡!$Z$15</f>
        <v>驾驶分项</v>
      </c>
      <c r="V15" s="206"/>
      <c r="W15" s="207"/>
      <c r="X15" s="214">
        <f>建卡!$AG$15</f>
        <v>1</v>
      </c>
      <c r="Y15" s="215"/>
      <c r="Z15" s="210">
        <f t="shared" ref="Z15:Z35" si="2">SUM(X15:Y15)</f>
        <v>1</v>
      </c>
      <c r="AA15" s="211">
        <f>INT(Z15/2)</f>
        <v>0</v>
      </c>
      <c r="AB15" s="212">
        <f>INT(Z15/5)</f>
        <v>0</v>
      </c>
      <c r="AC15" s="217" t="s">
        <v>283</v>
      </c>
      <c r="AD15" s="182"/>
      <c r="AE15" s="182"/>
      <c r="AF15" s="182"/>
      <c r="AG15" s="182"/>
      <c r="AH15" s="171"/>
      <c r="AI15" s="218">
        <f>dodge</f>
        <v>22</v>
      </c>
      <c r="AJ15" s="219">
        <f>INT(AI15/2)</f>
        <v>11</v>
      </c>
      <c r="AK15" s="220">
        <f>INT(AI15/5)</f>
        <v>4</v>
      </c>
    </row>
    <row r="16" spans="2:52" ht="15" customHeight="1" x14ac:dyDescent="0.15">
      <c r="B16" s="221"/>
      <c r="C16" s="222" t="str">
        <f>建卡!$J$16</f>
        <v>驯兽</v>
      </c>
      <c r="D16" s="223"/>
      <c r="E16" s="224"/>
      <c r="F16" s="225">
        <f>建卡!$Q$16</f>
        <v>5</v>
      </c>
      <c r="G16" s="226"/>
      <c r="H16" s="227">
        <f t="shared" si="0"/>
        <v>5</v>
      </c>
      <c r="I16" s="228">
        <f t="shared" ref="I16:I35" si="3">INT(H16/2)</f>
        <v>2</v>
      </c>
      <c r="J16" s="229">
        <f t="shared" ref="J16:J35" si="4">INT(H16/5)</f>
        <v>1</v>
      </c>
      <c r="K16" s="230"/>
      <c r="L16" s="222" t="str">
        <f>建卡!$R$16</f>
        <v>急救</v>
      </c>
      <c r="M16" s="223"/>
      <c r="N16" s="224"/>
      <c r="O16" s="231">
        <f>建卡!$Y$16</f>
        <v>30</v>
      </c>
      <c r="P16" s="232"/>
      <c r="Q16" s="227">
        <f t="shared" si="1"/>
        <v>30</v>
      </c>
      <c r="R16" s="228">
        <f t="shared" ref="R16:R35" si="5">INT(Q16/2)</f>
        <v>15</v>
      </c>
      <c r="S16" s="229">
        <f t="shared" ref="S16:S35" si="6">INT(Q16/5)</f>
        <v>6</v>
      </c>
      <c r="T16" s="233"/>
      <c r="U16" s="222" t="str">
        <f>建卡!$Z$16</f>
        <v>心理</v>
      </c>
      <c r="V16" s="223"/>
      <c r="W16" s="224"/>
      <c r="X16" s="231">
        <f>建卡!$AG$16</f>
        <v>10</v>
      </c>
      <c r="Y16" s="232"/>
      <c r="Z16" s="227">
        <f t="shared" si="2"/>
        <v>10</v>
      </c>
      <c r="AA16" s="228">
        <f t="shared" ref="AA16:AA35" si="7">INT(Z16/2)</f>
        <v>5</v>
      </c>
      <c r="AB16" s="229">
        <f t="shared" ref="AB16:AB35" si="8">INT(Z16/5)</f>
        <v>2</v>
      </c>
      <c r="AC16" s="234" t="s">
        <v>284</v>
      </c>
      <c r="AD16" s="165" t="s">
        <v>285</v>
      </c>
      <c r="AE16" s="165"/>
      <c r="AF16" s="165"/>
      <c r="AG16" s="165"/>
      <c r="AH16" s="165"/>
      <c r="AI16" s="165"/>
      <c r="AJ16" s="165"/>
      <c r="AK16" s="235">
        <v>0</v>
      </c>
    </row>
    <row r="17" spans="2:37" ht="15" customHeight="1" x14ac:dyDescent="0.15">
      <c r="B17" s="221"/>
      <c r="C17" s="222" t="str">
        <f>建卡!$J$17</f>
        <v>人类学</v>
      </c>
      <c r="D17" s="223"/>
      <c r="E17" s="224"/>
      <c r="F17" s="225">
        <f>建卡!$Q$17</f>
        <v>1</v>
      </c>
      <c r="G17" s="226"/>
      <c r="H17" s="227">
        <f t="shared" si="0"/>
        <v>1</v>
      </c>
      <c r="I17" s="228">
        <f t="shared" si="3"/>
        <v>0</v>
      </c>
      <c r="J17" s="229">
        <f t="shared" si="4"/>
        <v>0</v>
      </c>
      <c r="K17" s="230"/>
      <c r="L17" s="222" t="str">
        <f>建卡!$R$17</f>
        <v>历史</v>
      </c>
      <c r="M17" s="223"/>
      <c r="N17" s="224"/>
      <c r="O17" s="231">
        <f>建卡!$Y$17</f>
        <v>5</v>
      </c>
      <c r="P17" s="232"/>
      <c r="Q17" s="227">
        <f t="shared" si="1"/>
        <v>5</v>
      </c>
      <c r="R17" s="228">
        <f t="shared" si="5"/>
        <v>2</v>
      </c>
      <c r="S17" s="229">
        <f t="shared" si="6"/>
        <v>1</v>
      </c>
      <c r="T17" s="233" t="b">
        <v>0</v>
      </c>
      <c r="U17" s="222" t="str">
        <f>建卡!$Z$17</f>
        <v>骑乘</v>
      </c>
      <c r="V17" s="223"/>
      <c r="W17" s="224"/>
      <c r="X17" s="231">
        <f>建卡!$AG$17</f>
        <v>5</v>
      </c>
      <c r="Y17" s="232"/>
      <c r="Z17" s="227">
        <f t="shared" si="2"/>
        <v>5</v>
      </c>
      <c r="AA17" s="228">
        <f t="shared" si="7"/>
        <v>2</v>
      </c>
      <c r="AB17" s="229">
        <f t="shared" si="8"/>
        <v>1</v>
      </c>
      <c r="AC17" s="236"/>
      <c r="AD17" s="112" t="s">
        <v>286</v>
      </c>
      <c r="AE17" s="112"/>
      <c r="AF17" s="172" t="str">
        <f>VLOOKUP(AD16,武器!$A:$G,2,FALSE)</f>
        <v>格斗(斗殴)</v>
      </c>
      <c r="AG17" s="172"/>
      <c r="AH17" s="172"/>
      <c r="AI17" s="218">
        <f>VLOOKUP(AD16,武器!$A:$G,3,FALSE)</f>
        <v>25</v>
      </c>
      <c r="AJ17" s="219">
        <f>INT(AI17/2)</f>
        <v>12</v>
      </c>
      <c r="AK17" s="220">
        <f>INT(AI17/5)</f>
        <v>5</v>
      </c>
    </row>
    <row r="18" spans="2:37" ht="15" customHeight="1" x14ac:dyDescent="0.15">
      <c r="B18" s="221"/>
      <c r="C18" s="222" t="str">
        <f>建卡!$J$18</f>
        <v>估价</v>
      </c>
      <c r="D18" s="223"/>
      <c r="E18" s="224"/>
      <c r="F18" s="225">
        <f>建卡!$Q$18</f>
        <v>5</v>
      </c>
      <c r="G18" s="226"/>
      <c r="H18" s="227">
        <f t="shared" si="0"/>
        <v>5</v>
      </c>
      <c r="I18" s="228">
        <f t="shared" si="3"/>
        <v>2</v>
      </c>
      <c r="J18" s="229">
        <f t="shared" si="4"/>
        <v>1</v>
      </c>
      <c r="K18" s="230"/>
      <c r="L18" s="222" t="str">
        <f>建卡!$R$18</f>
        <v>恐吓</v>
      </c>
      <c r="M18" s="223"/>
      <c r="N18" s="224"/>
      <c r="O18" s="231">
        <f>建卡!$Y$18</f>
        <v>15</v>
      </c>
      <c r="P18" s="232"/>
      <c r="Q18" s="227">
        <f t="shared" si="1"/>
        <v>15</v>
      </c>
      <c r="R18" s="228">
        <f t="shared" si="5"/>
        <v>7</v>
      </c>
      <c r="S18" s="229">
        <f t="shared" si="6"/>
        <v>3</v>
      </c>
      <c r="T18" s="233"/>
      <c r="U18" s="222" t="str">
        <f>建卡!$Z$18</f>
        <v>科学分项</v>
      </c>
      <c r="V18" s="223"/>
      <c r="W18" s="224"/>
      <c r="X18" s="231">
        <f>建卡!$AG$18</f>
        <v>1</v>
      </c>
      <c r="Y18" s="232"/>
      <c r="Z18" s="227">
        <f t="shared" si="2"/>
        <v>1</v>
      </c>
      <c r="AA18" s="228">
        <f t="shared" si="7"/>
        <v>0</v>
      </c>
      <c r="AB18" s="229">
        <f t="shared" si="8"/>
        <v>0</v>
      </c>
      <c r="AC18" s="236"/>
      <c r="AD18" s="112" t="s">
        <v>287</v>
      </c>
      <c r="AE18" s="112"/>
      <c r="AF18" s="172" t="str">
        <f>SUBSTITUTE(VLOOKUP(AD16,武器!$A:$G,4,FALSE),"+db",dmgbonus)</f>
        <v>1D3-1</v>
      </c>
      <c r="AG18" s="172"/>
      <c r="AH18" s="172"/>
      <c r="AI18" s="172"/>
      <c r="AJ18" s="172"/>
      <c r="AK18" s="237"/>
    </row>
    <row r="19" spans="2:37" ht="15" customHeight="1" x14ac:dyDescent="0.15">
      <c r="B19" s="221"/>
      <c r="C19" s="222" t="str">
        <f>建卡!$J$19</f>
        <v>考古</v>
      </c>
      <c r="D19" s="223"/>
      <c r="E19" s="224"/>
      <c r="F19" s="225">
        <f>建卡!$Q$19</f>
        <v>1</v>
      </c>
      <c r="G19" s="226"/>
      <c r="H19" s="227">
        <f t="shared" si="0"/>
        <v>1</v>
      </c>
      <c r="I19" s="228">
        <f t="shared" si="3"/>
        <v>0</v>
      </c>
      <c r="J19" s="229">
        <f t="shared" si="4"/>
        <v>0</v>
      </c>
      <c r="K19" s="230"/>
      <c r="L19" s="222" t="str">
        <f>建卡!$R$19</f>
        <v>跳跃</v>
      </c>
      <c r="M19" s="223"/>
      <c r="N19" s="224"/>
      <c r="O19" s="231">
        <f>建卡!$Y$19</f>
        <v>20</v>
      </c>
      <c r="P19" s="232"/>
      <c r="Q19" s="227">
        <f t="shared" si="1"/>
        <v>20</v>
      </c>
      <c r="R19" s="228">
        <f t="shared" si="5"/>
        <v>10</v>
      </c>
      <c r="S19" s="229">
        <f t="shared" si="6"/>
        <v>4</v>
      </c>
      <c r="T19" s="233"/>
      <c r="U19" s="222" t="str">
        <f>建卡!$Z$19</f>
        <v>科学分项</v>
      </c>
      <c r="V19" s="223"/>
      <c r="W19" s="224"/>
      <c r="X19" s="231">
        <f>建卡!$AG$19</f>
        <v>1</v>
      </c>
      <c r="Y19" s="232"/>
      <c r="Z19" s="227">
        <f t="shared" si="2"/>
        <v>1</v>
      </c>
      <c r="AA19" s="228">
        <f t="shared" si="7"/>
        <v>0</v>
      </c>
      <c r="AB19" s="229">
        <f t="shared" si="8"/>
        <v>0</v>
      </c>
      <c r="AC19" s="236"/>
      <c r="AD19" s="112" t="s">
        <v>288</v>
      </c>
      <c r="AE19" s="112"/>
      <c r="AF19" s="144" t="str">
        <f>VLOOKUP(AD16,武器!$A:$G,5,FALSE)</f>
        <v>近</v>
      </c>
      <c r="AG19" s="144"/>
      <c r="AH19" s="112" t="s">
        <v>289</v>
      </c>
      <c r="AI19" s="112"/>
      <c r="AJ19" s="144">
        <f>VLOOKUP(AD16,武器!$A:$G,6,FALSE)</f>
        <v>1</v>
      </c>
      <c r="AK19" s="238"/>
    </row>
    <row r="20" spans="2:37" ht="15" customHeight="1" x14ac:dyDescent="0.15">
      <c r="B20" s="221"/>
      <c r="C20" s="222" t="str">
        <f>建卡!$J$20</f>
        <v>艺术分项</v>
      </c>
      <c r="D20" s="223"/>
      <c r="E20" s="224"/>
      <c r="F20" s="225">
        <f>建卡!$Q$20</f>
        <v>5</v>
      </c>
      <c r="G20" s="226"/>
      <c r="H20" s="227">
        <f t="shared" si="0"/>
        <v>5</v>
      </c>
      <c r="I20" s="228">
        <f t="shared" si="3"/>
        <v>2</v>
      </c>
      <c r="J20" s="229">
        <f t="shared" si="4"/>
        <v>1</v>
      </c>
      <c r="K20" s="230"/>
      <c r="L20" s="222" t="str">
        <f>建卡!$R$20</f>
        <v>外语分项</v>
      </c>
      <c r="M20" s="223"/>
      <c r="N20" s="224"/>
      <c r="O20" s="231">
        <f>建卡!$Y$20</f>
        <v>1</v>
      </c>
      <c r="P20" s="232"/>
      <c r="Q20" s="227">
        <f t="shared" si="1"/>
        <v>1</v>
      </c>
      <c r="R20" s="228">
        <f t="shared" si="5"/>
        <v>0</v>
      </c>
      <c r="S20" s="229">
        <f t="shared" si="6"/>
        <v>0</v>
      </c>
      <c r="T20" s="233"/>
      <c r="U20" s="222" t="str">
        <f>建卡!$Z$20</f>
        <v>科学分项</v>
      </c>
      <c r="V20" s="223"/>
      <c r="W20" s="224"/>
      <c r="X20" s="231">
        <f>建卡!$AG$20</f>
        <v>1</v>
      </c>
      <c r="Y20" s="232"/>
      <c r="Z20" s="227">
        <f t="shared" si="2"/>
        <v>1</v>
      </c>
      <c r="AA20" s="228">
        <f t="shared" si="7"/>
        <v>0</v>
      </c>
      <c r="AB20" s="229">
        <f t="shared" si="8"/>
        <v>0</v>
      </c>
      <c r="AC20" s="236"/>
      <c r="AD20" s="112" t="s">
        <v>290</v>
      </c>
      <c r="AE20" s="112"/>
      <c r="AF20" s="144" t="str">
        <f>VLOOKUP(AD16,武器!$A:$G,7,FALSE)</f>
        <v>N/A</v>
      </c>
      <c r="AG20" s="144"/>
      <c r="AH20" s="112" t="s">
        <v>291</v>
      </c>
      <c r="AI20" s="112"/>
      <c r="AJ20" s="144" t="str">
        <f>VLOOKUP(AD16,武器!$A:$H,8,FALSE)</f>
        <v>N/A</v>
      </c>
      <c r="AK20" s="238"/>
    </row>
    <row r="21" spans="2:37" ht="15" customHeight="1" x14ac:dyDescent="0.15">
      <c r="B21" s="221"/>
      <c r="C21" s="222" t="str">
        <f>建卡!$J$21</f>
        <v>艺术分项</v>
      </c>
      <c r="D21" s="223"/>
      <c r="E21" s="224"/>
      <c r="F21" s="225">
        <f>建卡!$Q$21</f>
        <v>5</v>
      </c>
      <c r="G21" s="226"/>
      <c r="H21" s="227">
        <f t="shared" si="0"/>
        <v>5</v>
      </c>
      <c r="I21" s="228">
        <f t="shared" si="3"/>
        <v>2</v>
      </c>
      <c r="J21" s="229">
        <f t="shared" si="4"/>
        <v>1</v>
      </c>
      <c r="K21" s="230"/>
      <c r="L21" s="222" t="str">
        <f>建卡!$R$21</f>
        <v>外语分项</v>
      </c>
      <c r="M21" s="223"/>
      <c r="N21" s="224"/>
      <c r="O21" s="231">
        <f>建卡!$Y$21</f>
        <v>1</v>
      </c>
      <c r="P21" s="232"/>
      <c r="Q21" s="227">
        <f t="shared" si="1"/>
        <v>1</v>
      </c>
      <c r="R21" s="228">
        <f t="shared" si="5"/>
        <v>0</v>
      </c>
      <c r="S21" s="229">
        <f t="shared" si="6"/>
        <v>0</v>
      </c>
      <c r="T21" s="233"/>
      <c r="U21" s="222" t="str">
        <f>建卡!$Z$21</f>
        <v>妙手</v>
      </c>
      <c r="V21" s="223"/>
      <c r="W21" s="224"/>
      <c r="X21" s="231">
        <f>建卡!$AG$21</f>
        <v>10</v>
      </c>
      <c r="Y21" s="232"/>
      <c r="Z21" s="227">
        <f t="shared" si="2"/>
        <v>10</v>
      </c>
      <c r="AA21" s="228">
        <f t="shared" si="7"/>
        <v>5</v>
      </c>
      <c r="AB21" s="229">
        <f t="shared" si="8"/>
        <v>2</v>
      </c>
      <c r="AC21" s="236"/>
      <c r="AD21" s="239">
        <f>VLOOKUP(AD16,武器!$A:$L,12,FALSE)</f>
        <v>0</v>
      </c>
      <c r="AE21" s="240"/>
      <c r="AF21" s="240"/>
      <c r="AG21" s="240"/>
      <c r="AH21" s="240"/>
      <c r="AI21" s="240"/>
      <c r="AJ21" s="240"/>
      <c r="AK21" s="241"/>
    </row>
    <row r="22" spans="2:37" ht="15" customHeight="1" x14ac:dyDescent="0.15">
      <c r="B22" s="221" t="b">
        <v>0</v>
      </c>
      <c r="C22" s="222" t="str">
        <f>建卡!$J$22</f>
        <v>艺术分项</v>
      </c>
      <c r="D22" s="223"/>
      <c r="E22" s="224"/>
      <c r="F22" s="225">
        <f>建卡!$Q$22</f>
        <v>5</v>
      </c>
      <c r="G22" s="226"/>
      <c r="H22" s="227">
        <f t="shared" si="0"/>
        <v>5</v>
      </c>
      <c r="I22" s="228">
        <f t="shared" si="3"/>
        <v>2</v>
      </c>
      <c r="J22" s="229">
        <f t="shared" si="4"/>
        <v>1</v>
      </c>
      <c r="K22" s="230" t="b">
        <v>0</v>
      </c>
      <c r="L22" s="222" t="str">
        <f>建卡!$R$22</f>
        <v>外语分项</v>
      </c>
      <c r="M22" s="223"/>
      <c r="N22" s="224"/>
      <c r="O22" s="231">
        <f>建卡!$Y$22</f>
        <v>1</v>
      </c>
      <c r="P22" s="232"/>
      <c r="Q22" s="227">
        <f t="shared" si="1"/>
        <v>1</v>
      </c>
      <c r="R22" s="228">
        <f t="shared" si="5"/>
        <v>0</v>
      </c>
      <c r="S22" s="229">
        <f t="shared" si="6"/>
        <v>0</v>
      </c>
      <c r="T22" s="233"/>
      <c r="U22" s="222" t="str">
        <f>建卡!$Z$22</f>
        <v>侦查</v>
      </c>
      <c r="V22" s="223"/>
      <c r="W22" s="224"/>
      <c r="X22" s="231">
        <f>建卡!$AG$22</f>
        <v>25</v>
      </c>
      <c r="Y22" s="232"/>
      <c r="Z22" s="227">
        <f t="shared" si="2"/>
        <v>25</v>
      </c>
      <c r="AA22" s="228">
        <f t="shared" si="7"/>
        <v>12</v>
      </c>
      <c r="AB22" s="229">
        <f t="shared" si="8"/>
        <v>5</v>
      </c>
      <c r="AC22" s="242"/>
      <c r="AD22" s="243"/>
      <c r="AE22" s="244"/>
      <c r="AF22" s="244"/>
      <c r="AG22" s="244"/>
      <c r="AH22" s="244"/>
      <c r="AI22" s="244"/>
      <c r="AJ22" s="244"/>
      <c r="AK22" s="245"/>
    </row>
    <row r="23" spans="2:37" ht="15" customHeight="1" x14ac:dyDescent="0.15">
      <c r="B23" s="221" t="b">
        <v>0</v>
      </c>
      <c r="C23" s="222" t="str">
        <f>建卡!$J$23</f>
        <v>魅惑</v>
      </c>
      <c r="D23" s="223"/>
      <c r="E23" s="224"/>
      <c r="F23" s="225">
        <f>建卡!$Q$23</f>
        <v>15</v>
      </c>
      <c r="G23" s="226"/>
      <c r="H23" s="227">
        <f t="shared" si="0"/>
        <v>15</v>
      </c>
      <c r="I23" s="228">
        <f t="shared" si="3"/>
        <v>7</v>
      </c>
      <c r="J23" s="229">
        <f t="shared" si="4"/>
        <v>3</v>
      </c>
      <c r="K23" s="230" t="b">
        <v>0</v>
      </c>
      <c r="L23" s="222" t="str">
        <f>建卡!$R$23</f>
        <v>英语</v>
      </c>
      <c r="M23" s="223"/>
      <c r="N23" s="224"/>
      <c r="O23" s="231">
        <f>建卡!$Y$23-edu+AB5</f>
        <v>65</v>
      </c>
      <c r="P23" s="232"/>
      <c r="Q23" s="227">
        <f t="shared" si="1"/>
        <v>65</v>
      </c>
      <c r="R23" s="228">
        <f t="shared" si="5"/>
        <v>32</v>
      </c>
      <c r="S23" s="229">
        <f t="shared" si="6"/>
        <v>13</v>
      </c>
      <c r="T23" s="230" t="b">
        <v>0</v>
      </c>
      <c r="U23" s="222" t="str">
        <f>建卡!$Z$23</f>
        <v>潜行</v>
      </c>
      <c r="V23" s="223"/>
      <c r="W23" s="224"/>
      <c r="X23" s="231">
        <f>建卡!$AG$23</f>
        <v>20</v>
      </c>
      <c r="Y23" s="232"/>
      <c r="Z23" s="227">
        <f t="shared" si="2"/>
        <v>20</v>
      </c>
      <c r="AA23" s="228">
        <f t="shared" si="7"/>
        <v>10</v>
      </c>
      <c r="AB23" s="229">
        <f t="shared" si="8"/>
        <v>4</v>
      </c>
      <c r="AC23" s="234" t="s">
        <v>292</v>
      </c>
      <c r="AD23" s="246"/>
      <c r="AE23" s="247"/>
      <c r="AF23" s="247"/>
      <c r="AG23" s="247"/>
      <c r="AH23" s="247"/>
      <c r="AI23" s="247"/>
      <c r="AJ23" s="247"/>
      <c r="AK23" s="248"/>
    </row>
    <row r="24" spans="2:37" ht="15" customHeight="1" x14ac:dyDescent="0.15">
      <c r="B24" s="221"/>
      <c r="C24" s="222" t="str">
        <f>建卡!$J$24</f>
        <v>攀爬</v>
      </c>
      <c r="D24" s="223"/>
      <c r="E24" s="224"/>
      <c r="F24" s="225">
        <f>建卡!$Q$24</f>
        <v>20</v>
      </c>
      <c r="G24" s="226"/>
      <c r="H24" s="227">
        <f t="shared" si="0"/>
        <v>20</v>
      </c>
      <c r="I24" s="228">
        <f t="shared" si="3"/>
        <v>10</v>
      </c>
      <c r="J24" s="229">
        <f t="shared" si="4"/>
        <v>4</v>
      </c>
      <c r="K24" s="230"/>
      <c r="L24" s="222" t="str">
        <f>建卡!$R$24</f>
        <v>法律</v>
      </c>
      <c r="M24" s="223"/>
      <c r="N24" s="224"/>
      <c r="O24" s="231">
        <f>建卡!$Y$24</f>
        <v>5</v>
      </c>
      <c r="P24" s="232"/>
      <c r="Q24" s="227">
        <f t="shared" si="1"/>
        <v>5</v>
      </c>
      <c r="R24" s="228">
        <f t="shared" si="5"/>
        <v>2</v>
      </c>
      <c r="S24" s="229">
        <f t="shared" si="6"/>
        <v>1</v>
      </c>
      <c r="T24" s="233"/>
      <c r="U24" s="222" t="str">
        <f>建卡!$Z$24</f>
        <v>生存分项</v>
      </c>
      <c r="V24" s="223"/>
      <c r="W24" s="224"/>
      <c r="X24" s="231">
        <f>建卡!$AG$24</f>
        <v>10</v>
      </c>
      <c r="Y24" s="232"/>
      <c r="Z24" s="227">
        <f t="shared" si="2"/>
        <v>10</v>
      </c>
      <c r="AA24" s="228">
        <f t="shared" si="7"/>
        <v>5</v>
      </c>
      <c r="AB24" s="229">
        <f t="shared" si="8"/>
        <v>2</v>
      </c>
      <c r="AC24" s="242"/>
      <c r="AD24" s="249" t="str">
        <f>IF(ISBLANK(AD23),"",VLOOKUP(AD23,道具!A:E,5,FALSE))</f>
        <v/>
      </c>
      <c r="AE24" s="250"/>
      <c r="AF24" s="250"/>
      <c r="AG24" s="250"/>
      <c r="AH24" s="250"/>
      <c r="AI24" s="250"/>
      <c r="AJ24" s="250"/>
      <c r="AK24" s="251"/>
    </row>
    <row r="25" spans="2:37" ht="15" customHeight="1" x14ac:dyDescent="0.15">
      <c r="B25" s="252"/>
      <c r="C25" s="222" t="str">
        <f>建卡!$J$25</f>
        <v>信用</v>
      </c>
      <c r="D25" s="223"/>
      <c r="E25" s="224"/>
      <c r="F25" s="225">
        <f>建卡!$Q$25</f>
        <v>0</v>
      </c>
      <c r="G25" s="226"/>
      <c r="H25" s="227">
        <f t="shared" si="0"/>
        <v>0</v>
      </c>
      <c r="I25" s="228">
        <f t="shared" si="3"/>
        <v>0</v>
      </c>
      <c r="J25" s="229">
        <f t="shared" si="4"/>
        <v>0</v>
      </c>
      <c r="K25" s="230"/>
      <c r="L25" s="222" t="str">
        <f>建卡!$R$25</f>
        <v>图书馆</v>
      </c>
      <c r="M25" s="223"/>
      <c r="N25" s="224"/>
      <c r="O25" s="231">
        <f>建卡!$Y$25</f>
        <v>20</v>
      </c>
      <c r="P25" s="232"/>
      <c r="Q25" s="227">
        <f t="shared" si="1"/>
        <v>20</v>
      </c>
      <c r="R25" s="228">
        <f t="shared" si="5"/>
        <v>10</v>
      </c>
      <c r="S25" s="229">
        <f t="shared" si="6"/>
        <v>4</v>
      </c>
      <c r="T25" s="233"/>
      <c r="U25" s="222" t="str">
        <f>建卡!$Z$25</f>
        <v>游泳</v>
      </c>
      <c r="V25" s="223"/>
      <c r="W25" s="224"/>
      <c r="X25" s="231">
        <f>建卡!$AG$25</f>
        <v>20</v>
      </c>
      <c r="Y25" s="232"/>
      <c r="Z25" s="227">
        <f t="shared" si="2"/>
        <v>20</v>
      </c>
      <c r="AA25" s="228">
        <f t="shared" si="7"/>
        <v>10</v>
      </c>
      <c r="AB25" s="229">
        <f t="shared" si="8"/>
        <v>4</v>
      </c>
      <c r="AC25" s="234" t="s">
        <v>293</v>
      </c>
      <c r="AD25" s="246"/>
      <c r="AE25" s="247"/>
      <c r="AF25" s="247"/>
      <c r="AG25" s="247"/>
      <c r="AH25" s="247"/>
      <c r="AI25" s="247"/>
      <c r="AJ25" s="247"/>
      <c r="AK25" s="248"/>
    </row>
    <row r="26" spans="2:37" ht="15" customHeight="1" x14ac:dyDescent="0.15">
      <c r="B26" s="252"/>
      <c r="C26" s="222" t="str">
        <f>建卡!$J$26</f>
        <v>克苏鲁神话</v>
      </c>
      <c r="D26" s="223"/>
      <c r="E26" s="224"/>
      <c r="F26" s="225">
        <f>建卡!$Q$26</f>
        <v>0</v>
      </c>
      <c r="G26" s="226"/>
      <c r="H26" s="227">
        <f t="shared" si="0"/>
        <v>0</v>
      </c>
      <c r="I26" s="228">
        <f t="shared" si="3"/>
        <v>0</v>
      </c>
      <c r="J26" s="229">
        <f t="shared" si="4"/>
        <v>0</v>
      </c>
      <c r="K26" s="230"/>
      <c r="L26" s="222" t="str">
        <f>建卡!$R$26</f>
        <v>聆听</v>
      </c>
      <c r="M26" s="223"/>
      <c r="N26" s="224"/>
      <c r="O26" s="231">
        <f>建卡!$Y$26</f>
        <v>20</v>
      </c>
      <c r="P26" s="232"/>
      <c r="Q26" s="227">
        <f t="shared" si="1"/>
        <v>20</v>
      </c>
      <c r="R26" s="228">
        <f t="shared" si="5"/>
        <v>10</v>
      </c>
      <c r="S26" s="229">
        <f t="shared" si="6"/>
        <v>4</v>
      </c>
      <c r="T26" s="233" t="b">
        <v>0</v>
      </c>
      <c r="U26" s="222" t="str">
        <f>建卡!$Z$26</f>
        <v>投掷</v>
      </c>
      <c r="V26" s="223"/>
      <c r="W26" s="224"/>
      <c r="X26" s="231">
        <f>建卡!$AG$26</f>
        <v>20</v>
      </c>
      <c r="Y26" s="232"/>
      <c r="Z26" s="227">
        <f t="shared" si="2"/>
        <v>20</v>
      </c>
      <c r="AA26" s="228">
        <f t="shared" si="7"/>
        <v>10</v>
      </c>
      <c r="AB26" s="229">
        <f t="shared" si="8"/>
        <v>4</v>
      </c>
      <c r="AC26" s="242"/>
      <c r="AD26" s="249" t="str">
        <f>IF(ISBLANK(AD25),"",VLOOKUP(AD25,道具!A:E,5,FALSE))</f>
        <v/>
      </c>
      <c r="AE26" s="250"/>
      <c r="AF26" s="250"/>
      <c r="AG26" s="250"/>
      <c r="AH26" s="250"/>
      <c r="AI26" s="250"/>
      <c r="AJ26" s="250"/>
      <c r="AK26" s="251"/>
    </row>
    <row r="27" spans="2:37" ht="15" customHeight="1" x14ac:dyDescent="0.15">
      <c r="B27" s="221" t="b">
        <v>0</v>
      </c>
      <c r="C27" s="222" t="str">
        <f>建卡!$J$27</f>
        <v>乔装</v>
      </c>
      <c r="D27" s="223"/>
      <c r="E27" s="224"/>
      <c r="F27" s="225">
        <f>建卡!$Q$27</f>
        <v>5</v>
      </c>
      <c r="G27" s="226"/>
      <c r="H27" s="227">
        <f t="shared" si="0"/>
        <v>5</v>
      </c>
      <c r="I27" s="228">
        <f t="shared" si="3"/>
        <v>2</v>
      </c>
      <c r="J27" s="229">
        <f t="shared" si="4"/>
        <v>1</v>
      </c>
      <c r="K27" s="253"/>
      <c r="L27" s="222" t="str">
        <f>建卡!$R$27</f>
        <v>锁匠</v>
      </c>
      <c r="M27" s="223"/>
      <c r="N27" s="224"/>
      <c r="O27" s="231">
        <f>建卡!$Y$27</f>
        <v>1</v>
      </c>
      <c r="P27" s="232"/>
      <c r="Q27" s="227">
        <f t="shared" si="1"/>
        <v>1</v>
      </c>
      <c r="R27" s="228">
        <f t="shared" si="5"/>
        <v>0</v>
      </c>
      <c r="S27" s="229">
        <f t="shared" si="6"/>
        <v>0</v>
      </c>
      <c r="T27" s="233"/>
      <c r="U27" s="222" t="str">
        <f>建卡!$Z$27</f>
        <v>追踪</v>
      </c>
      <c r="V27" s="223"/>
      <c r="W27" s="224"/>
      <c r="X27" s="231">
        <f>建卡!$AG$27</f>
        <v>10</v>
      </c>
      <c r="Y27" s="232"/>
      <c r="Z27" s="227">
        <f t="shared" si="2"/>
        <v>10</v>
      </c>
      <c r="AA27" s="228">
        <f t="shared" si="7"/>
        <v>5</v>
      </c>
      <c r="AB27" s="229">
        <f t="shared" si="8"/>
        <v>2</v>
      </c>
      <c r="AC27" s="254" t="s">
        <v>294</v>
      </c>
      <c r="AD27" s="255"/>
      <c r="AE27" s="256"/>
      <c r="AF27" s="256"/>
      <c r="AG27" s="256"/>
      <c r="AH27" s="256"/>
      <c r="AI27" s="256"/>
      <c r="AJ27" s="256"/>
      <c r="AK27" s="257"/>
    </row>
    <row r="28" spans="2:37" ht="15" customHeight="1" x14ac:dyDescent="0.15">
      <c r="B28" s="221"/>
      <c r="C28" s="222" t="str">
        <f>建卡!$J$28</f>
        <v>闪避</v>
      </c>
      <c r="D28" s="223"/>
      <c r="E28" s="224"/>
      <c r="F28" s="225">
        <f>建卡!$Q$28</f>
        <v>22</v>
      </c>
      <c r="G28" s="226"/>
      <c r="H28" s="227">
        <f t="shared" si="0"/>
        <v>22</v>
      </c>
      <c r="I28" s="228">
        <f t="shared" si="3"/>
        <v>11</v>
      </c>
      <c r="J28" s="229">
        <f t="shared" si="4"/>
        <v>4</v>
      </c>
      <c r="K28" s="233"/>
      <c r="L28" s="222" t="str">
        <f>建卡!$R$28</f>
        <v>机修</v>
      </c>
      <c r="M28" s="223"/>
      <c r="N28" s="224"/>
      <c r="O28" s="231">
        <f>建卡!$Y$28</f>
        <v>10</v>
      </c>
      <c r="P28" s="232"/>
      <c r="Q28" s="227">
        <f t="shared" si="1"/>
        <v>10</v>
      </c>
      <c r="R28" s="228">
        <f t="shared" si="5"/>
        <v>5</v>
      </c>
      <c r="S28" s="229">
        <f t="shared" si="6"/>
        <v>2</v>
      </c>
      <c r="T28" s="233"/>
      <c r="U28" s="222">
        <f>建卡!$Z$28</f>
        <v>0</v>
      </c>
      <c r="V28" s="223"/>
      <c r="W28" s="224"/>
      <c r="X28" s="231">
        <f>建卡!$AG$28</f>
        <v>1</v>
      </c>
      <c r="Y28" s="232"/>
      <c r="Z28" s="227">
        <f t="shared" si="2"/>
        <v>1</v>
      </c>
      <c r="AA28" s="228">
        <f t="shared" si="7"/>
        <v>0</v>
      </c>
      <c r="AB28" s="229">
        <f t="shared" si="8"/>
        <v>0</v>
      </c>
      <c r="AC28" s="258"/>
      <c r="AD28" s="259" t="str">
        <f>IF(ISBLANK(AD27),"",VLOOKUP(AD27,注释!$A:$B,2,FALSE))</f>
        <v/>
      </c>
      <c r="AE28" s="260"/>
      <c r="AF28" s="260"/>
      <c r="AG28" s="260"/>
      <c r="AH28" s="260"/>
      <c r="AI28" s="260"/>
      <c r="AJ28" s="260"/>
      <c r="AK28" s="261"/>
    </row>
    <row r="29" spans="2:37" ht="15" customHeight="1" x14ac:dyDescent="0.15">
      <c r="B29" s="221"/>
      <c r="C29" s="222" t="str">
        <f>建卡!$J$29</f>
        <v>马车驾驶</v>
      </c>
      <c r="D29" s="223"/>
      <c r="E29" s="224"/>
      <c r="F29" s="225">
        <f>建卡!$Q$29</f>
        <v>20</v>
      </c>
      <c r="G29" s="226"/>
      <c r="H29" s="227">
        <f t="shared" si="0"/>
        <v>20</v>
      </c>
      <c r="I29" s="228">
        <f t="shared" si="3"/>
        <v>10</v>
      </c>
      <c r="J29" s="229">
        <f t="shared" si="4"/>
        <v>4</v>
      </c>
      <c r="K29" s="233" t="b">
        <v>0</v>
      </c>
      <c r="L29" s="222" t="str">
        <f>建卡!$R$29</f>
        <v>医学</v>
      </c>
      <c r="M29" s="223"/>
      <c r="N29" s="224"/>
      <c r="O29" s="231">
        <f>建卡!$Y$29</f>
        <v>1</v>
      </c>
      <c r="P29" s="232"/>
      <c r="Q29" s="227">
        <f t="shared" si="1"/>
        <v>1</v>
      </c>
      <c r="R29" s="228">
        <f t="shared" si="5"/>
        <v>0</v>
      </c>
      <c r="S29" s="229">
        <f t="shared" si="6"/>
        <v>0</v>
      </c>
      <c r="T29" s="233"/>
      <c r="U29" s="222">
        <f>建卡!$Z$29</f>
        <v>0</v>
      </c>
      <c r="V29" s="223"/>
      <c r="W29" s="224"/>
      <c r="X29" s="231">
        <f>建卡!$AG$29</f>
        <v>0</v>
      </c>
      <c r="Y29" s="232"/>
      <c r="Z29" s="227">
        <f t="shared" si="2"/>
        <v>0</v>
      </c>
      <c r="AA29" s="228">
        <f t="shared" si="7"/>
        <v>0</v>
      </c>
      <c r="AB29" s="229">
        <f t="shared" si="8"/>
        <v>0</v>
      </c>
      <c r="AC29" s="258"/>
      <c r="AD29" s="262"/>
      <c r="AE29" s="263"/>
      <c r="AF29" s="263"/>
      <c r="AG29" s="263"/>
      <c r="AH29" s="263"/>
      <c r="AI29" s="263"/>
      <c r="AJ29" s="263"/>
      <c r="AK29" s="264"/>
    </row>
    <row r="30" spans="2:37" ht="15" customHeight="1" x14ac:dyDescent="0.15">
      <c r="B30" s="221"/>
      <c r="C30" s="222" t="str">
        <f>建卡!$J$30</f>
        <v>话术</v>
      </c>
      <c r="D30" s="223"/>
      <c r="E30" s="224"/>
      <c r="F30" s="225">
        <f>建卡!$Q$30</f>
        <v>5</v>
      </c>
      <c r="G30" s="226"/>
      <c r="H30" s="227">
        <f t="shared" si="0"/>
        <v>5</v>
      </c>
      <c r="I30" s="228">
        <f t="shared" si="3"/>
        <v>2</v>
      </c>
      <c r="J30" s="229">
        <f t="shared" si="4"/>
        <v>1</v>
      </c>
      <c r="K30" s="233"/>
      <c r="L30" s="222" t="str">
        <f>建卡!$R$30</f>
        <v>自然</v>
      </c>
      <c r="M30" s="223"/>
      <c r="N30" s="224"/>
      <c r="O30" s="231">
        <f>建卡!$Y$30</f>
        <v>10</v>
      </c>
      <c r="P30" s="232"/>
      <c r="Q30" s="227">
        <f t="shared" si="1"/>
        <v>10</v>
      </c>
      <c r="R30" s="228">
        <f t="shared" si="5"/>
        <v>5</v>
      </c>
      <c r="S30" s="229">
        <f t="shared" si="6"/>
        <v>2</v>
      </c>
      <c r="T30" s="233" t="b">
        <v>0</v>
      </c>
      <c r="U30" s="222">
        <f>建卡!$Z$30</f>
        <v>0</v>
      </c>
      <c r="V30" s="223"/>
      <c r="W30" s="224"/>
      <c r="X30" s="231">
        <f>建卡!$AG$30</f>
        <v>0</v>
      </c>
      <c r="Y30" s="232"/>
      <c r="Z30" s="227">
        <f t="shared" si="2"/>
        <v>0</v>
      </c>
      <c r="AA30" s="228">
        <f t="shared" si="7"/>
        <v>0</v>
      </c>
      <c r="AB30" s="229">
        <f t="shared" si="8"/>
        <v>0</v>
      </c>
      <c r="AC30" s="258"/>
      <c r="AD30" s="262"/>
      <c r="AE30" s="263"/>
      <c r="AF30" s="263"/>
      <c r="AG30" s="263"/>
      <c r="AH30" s="263"/>
      <c r="AI30" s="263"/>
      <c r="AJ30" s="263"/>
      <c r="AK30" s="264"/>
    </row>
    <row r="31" spans="2:37" ht="15" customHeight="1" x14ac:dyDescent="0.15">
      <c r="B31" s="221"/>
      <c r="C31" s="222" t="str">
        <f>建卡!$J$31</f>
        <v>格斗(斗殴)</v>
      </c>
      <c r="D31" s="223"/>
      <c r="E31" s="224"/>
      <c r="F31" s="225">
        <f>建卡!$Q$31</f>
        <v>25</v>
      </c>
      <c r="G31" s="226"/>
      <c r="H31" s="227">
        <f t="shared" si="0"/>
        <v>25</v>
      </c>
      <c r="I31" s="228">
        <f t="shared" si="3"/>
        <v>12</v>
      </c>
      <c r="J31" s="229">
        <f t="shared" si="4"/>
        <v>5</v>
      </c>
      <c r="K31" s="233"/>
      <c r="L31" s="222" t="str">
        <f>建卡!$R$31</f>
        <v>导航</v>
      </c>
      <c r="M31" s="223"/>
      <c r="N31" s="224"/>
      <c r="O31" s="231">
        <f>建卡!$Y$31</f>
        <v>10</v>
      </c>
      <c r="P31" s="232"/>
      <c r="Q31" s="227">
        <f t="shared" si="1"/>
        <v>10</v>
      </c>
      <c r="R31" s="228">
        <f t="shared" si="5"/>
        <v>5</v>
      </c>
      <c r="S31" s="229">
        <f t="shared" si="6"/>
        <v>2</v>
      </c>
      <c r="T31" s="233"/>
      <c r="U31" s="222">
        <f>建卡!$Z$31</f>
        <v>0</v>
      </c>
      <c r="V31" s="223"/>
      <c r="W31" s="224"/>
      <c r="X31" s="231">
        <f>建卡!$AG$31</f>
        <v>0</v>
      </c>
      <c r="Y31" s="232"/>
      <c r="Z31" s="227">
        <f t="shared" si="2"/>
        <v>0</v>
      </c>
      <c r="AA31" s="228">
        <f t="shared" si="7"/>
        <v>0</v>
      </c>
      <c r="AB31" s="229">
        <f t="shared" si="8"/>
        <v>0</v>
      </c>
      <c r="AC31" s="265"/>
      <c r="AD31" s="266"/>
      <c r="AE31" s="267"/>
      <c r="AF31" s="267"/>
      <c r="AG31" s="267"/>
      <c r="AH31" s="267"/>
      <c r="AI31" s="267"/>
      <c r="AJ31" s="267"/>
      <c r="AK31" s="268"/>
    </row>
    <row r="32" spans="2:37" ht="15" customHeight="1" x14ac:dyDescent="0.15">
      <c r="B32" s="221"/>
      <c r="C32" s="222" t="str">
        <f>建卡!$J$32</f>
        <v>格斗分项</v>
      </c>
      <c r="D32" s="223"/>
      <c r="E32" s="224"/>
      <c r="F32" s="225">
        <f>建卡!$Q$32</f>
        <v>1</v>
      </c>
      <c r="G32" s="226"/>
      <c r="H32" s="227">
        <f t="shared" si="0"/>
        <v>1</v>
      </c>
      <c r="I32" s="228">
        <f t="shared" si="3"/>
        <v>0</v>
      </c>
      <c r="J32" s="229">
        <f t="shared" si="4"/>
        <v>0</v>
      </c>
      <c r="K32" s="233"/>
      <c r="L32" s="222" t="str">
        <f>建卡!$R$32</f>
        <v>神秘学</v>
      </c>
      <c r="M32" s="223"/>
      <c r="N32" s="224"/>
      <c r="O32" s="231">
        <f>建卡!$Y$32</f>
        <v>5</v>
      </c>
      <c r="P32" s="232"/>
      <c r="Q32" s="227">
        <f t="shared" si="1"/>
        <v>5</v>
      </c>
      <c r="R32" s="228">
        <f t="shared" si="5"/>
        <v>2</v>
      </c>
      <c r="S32" s="229">
        <f t="shared" si="6"/>
        <v>1</v>
      </c>
      <c r="T32" s="233"/>
      <c r="U32" s="222">
        <f>建卡!$Z$32</f>
        <v>0</v>
      </c>
      <c r="V32" s="223"/>
      <c r="W32" s="224"/>
      <c r="X32" s="231">
        <f>建卡!$AG$32</f>
        <v>0</v>
      </c>
      <c r="Y32" s="232"/>
      <c r="Z32" s="227">
        <f t="shared" si="2"/>
        <v>0</v>
      </c>
      <c r="AA32" s="228">
        <f t="shared" si="7"/>
        <v>0</v>
      </c>
      <c r="AB32" s="229">
        <f t="shared" si="8"/>
        <v>0</v>
      </c>
      <c r="AC32" s="217"/>
      <c r="AD32" s="182"/>
      <c r="AE32" s="171"/>
      <c r="AF32" s="269"/>
      <c r="AG32" s="270"/>
      <c r="AH32" s="270"/>
      <c r="AI32" s="270"/>
      <c r="AJ32" s="270"/>
      <c r="AK32" s="271"/>
    </row>
    <row r="33" spans="1:37" ht="15" customHeight="1" x14ac:dyDescent="0.15">
      <c r="B33" s="221"/>
      <c r="C33" s="222" t="str">
        <f>建卡!$J$33</f>
        <v>格斗分项</v>
      </c>
      <c r="D33" s="223"/>
      <c r="E33" s="224"/>
      <c r="F33" s="225">
        <f>建卡!$Q$33</f>
        <v>1</v>
      </c>
      <c r="G33" s="226"/>
      <c r="H33" s="227">
        <f t="shared" si="0"/>
        <v>1</v>
      </c>
      <c r="I33" s="228">
        <f t="shared" si="3"/>
        <v>0</v>
      </c>
      <c r="J33" s="229">
        <f t="shared" si="4"/>
        <v>0</v>
      </c>
      <c r="K33" s="233"/>
      <c r="L33" s="222" t="str">
        <f>建卡!$R$33</f>
        <v>重机</v>
      </c>
      <c r="M33" s="223"/>
      <c r="N33" s="224"/>
      <c r="O33" s="231">
        <f>建卡!$Y$33</f>
        <v>1</v>
      </c>
      <c r="P33" s="232"/>
      <c r="Q33" s="227">
        <f t="shared" si="1"/>
        <v>1</v>
      </c>
      <c r="R33" s="228">
        <f t="shared" si="5"/>
        <v>0</v>
      </c>
      <c r="S33" s="229">
        <f t="shared" si="6"/>
        <v>0</v>
      </c>
      <c r="T33" s="233"/>
      <c r="U33" s="222">
        <f>建卡!$Z$33</f>
        <v>0</v>
      </c>
      <c r="V33" s="223"/>
      <c r="W33" s="224"/>
      <c r="X33" s="231">
        <f>建卡!$AG$33</f>
        <v>0</v>
      </c>
      <c r="Y33" s="232"/>
      <c r="Z33" s="227">
        <f t="shared" si="2"/>
        <v>0</v>
      </c>
      <c r="AA33" s="228">
        <f t="shared" si="7"/>
        <v>0</v>
      </c>
      <c r="AB33" s="229">
        <f t="shared" si="8"/>
        <v>0</v>
      </c>
      <c r="AC33" s="217"/>
      <c r="AD33" s="182"/>
      <c r="AE33" s="171"/>
      <c r="AF33" s="272"/>
      <c r="AG33" s="273"/>
      <c r="AH33" s="273"/>
      <c r="AI33" s="273"/>
      <c r="AJ33" s="273"/>
      <c r="AK33" s="274"/>
    </row>
    <row r="34" spans="1:37" ht="15" customHeight="1" x14ac:dyDescent="0.15">
      <c r="B34" s="221"/>
      <c r="C34" s="222" t="str">
        <f>建卡!$J$34</f>
        <v>射击(手枪)</v>
      </c>
      <c r="D34" s="223"/>
      <c r="E34" s="224"/>
      <c r="F34" s="225">
        <f>建卡!$Q$34</f>
        <v>20</v>
      </c>
      <c r="G34" s="226"/>
      <c r="H34" s="227">
        <f t="shared" si="0"/>
        <v>20</v>
      </c>
      <c r="I34" s="228">
        <f t="shared" si="3"/>
        <v>10</v>
      </c>
      <c r="J34" s="229">
        <f t="shared" si="4"/>
        <v>4</v>
      </c>
      <c r="K34" s="233"/>
      <c r="L34" s="222" t="str">
        <f>建卡!$R$34</f>
        <v>说服</v>
      </c>
      <c r="M34" s="223"/>
      <c r="N34" s="224"/>
      <c r="O34" s="231">
        <f>建卡!$Y$34</f>
        <v>10</v>
      </c>
      <c r="P34" s="232"/>
      <c r="Q34" s="227">
        <f t="shared" si="1"/>
        <v>10</v>
      </c>
      <c r="R34" s="228">
        <f t="shared" si="5"/>
        <v>5</v>
      </c>
      <c r="S34" s="229">
        <f t="shared" si="6"/>
        <v>2</v>
      </c>
      <c r="T34" s="233"/>
      <c r="U34" s="222">
        <f>建卡!$Z$34</f>
        <v>0</v>
      </c>
      <c r="V34" s="223"/>
      <c r="W34" s="224"/>
      <c r="X34" s="231">
        <f>建卡!$AG$34</f>
        <v>0</v>
      </c>
      <c r="Y34" s="232"/>
      <c r="Z34" s="227">
        <f t="shared" si="2"/>
        <v>0</v>
      </c>
      <c r="AA34" s="228">
        <f t="shared" si="7"/>
        <v>0</v>
      </c>
      <c r="AB34" s="229">
        <f t="shared" si="8"/>
        <v>0</v>
      </c>
      <c r="AC34" s="275" t="s">
        <v>295</v>
      </c>
      <c r="AD34" s="276"/>
      <c r="AE34" s="277"/>
      <c r="AF34" s="278" t="str">
        <f>建卡!F49</f>
        <v>5p</v>
      </c>
      <c r="AG34" s="279"/>
      <c r="AH34" s="279"/>
      <c r="AI34" s="279"/>
      <c r="AJ34" s="280"/>
      <c r="AK34" s="281"/>
    </row>
    <row r="35" spans="1:37" ht="15" customHeight="1" x14ac:dyDescent="0.15">
      <c r="B35" s="282"/>
      <c r="C35" s="283" t="str">
        <f>建卡!$J$35</f>
        <v>射击(步霰)</v>
      </c>
      <c r="D35" s="284"/>
      <c r="E35" s="285"/>
      <c r="F35" s="286">
        <f>建卡!$Q$35</f>
        <v>25</v>
      </c>
      <c r="G35" s="287"/>
      <c r="H35" s="288">
        <f t="shared" si="0"/>
        <v>25</v>
      </c>
      <c r="I35" s="289">
        <f t="shared" si="3"/>
        <v>12</v>
      </c>
      <c r="J35" s="290">
        <f t="shared" si="4"/>
        <v>5</v>
      </c>
      <c r="K35" s="291"/>
      <c r="L35" s="283" t="str">
        <f>建卡!$R$35</f>
        <v>驾驶分项</v>
      </c>
      <c r="M35" s="284"/>
      <c r="N35" s="285"/>
      <c r="O35" s="292">
        <f>建卡!$Y$35</f>
        <v>1</v>
      </c>
      <c r="P35" s="293"/>
      <c r="Q35" s="288">
        <f t="shared" si="1"/>
        <v>1</v>
      </c>
      <c r="R35" s="289">
        <f t="shared" si="5"/>
        <v>0</v>
      </c>
      <c r="S35" s="290">
        <f t="shared" si="6"/>
        <v>0</v>
      </c>
      <c r="T35" s="291"/>
      <c r="U35" s="283">
        <f>建卡!$Z$35</f>
        <v>0</v>
      </c>
      <c r="V35" s="284"/>
      <c r="W35" s="285"/>
      <c r="X35" s="292">
        <f>建卡!$AG$35</f>
        <v>0</v>
      </c>
      <c r="Y35" s="293"/>
      <c r="Z35" s="288">
        <f t="shared" si="2"/>
        <v>0</v>
      </c>
      <c r="AA35" s="289">
        <f t="shared" si="7"/>
        <v>0</v>
      </c>
      <c r="AB35" s="290">
        <f t="shared" si="8"/>
        <v>0</v>
      </c>
      <c r="AC35" s="217" t="s">
        <v>296</v>
      </c>
      <c r="AD35" s="182"/>
      <c r="AE35" s="171"/>
      <c r="AF35" s="294">
        <f>IF(crd=0,0,IF(crd&lt;10,crd*￡!C3,IF(crd&lt;50,crd*￡!C4,IF(crd&lt;90,crd*￡!C5,IF(crd&lt;99,crd*￡!C6,￡!C7)))))</f>
        <v>0</v>
      </c>
      <c r="AG35" s="295"/>
      <c r="AH35" s="296">
        <f>IF(crd=0,5,0)</f>
        <v>5</v>
      </c>
      <c r="AI35" s="297">
        <v>0</v>
      </c>
      <c r="AJ35" s="298"/>
      <c r="AK35" s="299"/>
    </row>
    <row r="36" spans="1:37" ht="7.5" customHeight="1" thickBot="1" x14ac:dyDescent="0.2">
      <c r="B36" s="300"/>
      <c r="C36" s="152"/>
      <c r="D36" s="152"/>
      <c r="E36" s="152"/>
      <c r="F36" s="152"/>
      <c r="G36" s="152"/>
      <c r="H36" s="152"/>
      <c r="I36" s="301"/>
      <c r="J36" s="302"/>
      <c r="K36" s="152"/>
      <c r="L36" s="15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302"/>
      <c r="AG36" s="302"/>
      <c r="AH36" s="302"/>
      <c r="AI36" s="302"/>
      <c r="AJ36" s="302"/>
      <c r="AK36" s="303"/>
    </row>
    <row r="37" spans="1:37" ht="24.95" customHeight="1" x14ac:dyDescent="0.25">
      <c r="B37" s="304" t="s">
        <v>297</v>
      </c>
      <c r="C37" s="202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305" t="s">
        <v>298</v>
      </c>
      <c r="AJ37" s="306"/>
      <c r="AK37" s="307"/>
    </row>
    <row r="38" spans="1:37" s="315" customFormat="1" ht="15.75" x14ac:dyDescent="0.15">
      <c r="A38" s="308"/>
      <c r="B38" s="309" t="s">
        <v>299</v>
      </c>
      <c r="C38" s="310"/>
      <c r="D38" s="310"/>
      <c r="E38" s="311"/>
      <c r="F38" s="312"/>
      <c r="G38" s="313"/>
      <c r="H38" s="313"/>
      <c r="I38" s="313"/>
      <c r="J38" s="313"/>
      <c r="K38" s="313"/>
      <c r="L38" s="313"/>
      <c r="M38" s="313"/>
      <c r="N38" s="313"/>
      <c r="O38" s="313"/>
      <c r="P38" s="313"/>
      <c r="Q38" s="313"/>
      <c r="R38" s="313"/>
      <c r="S38" s="313"/>
      <c r="T38" s="313"/>
      <c r="U38" s="313"/>
      <c r="V38" s="313"/>
      <c r="W38" s="313"/>
      <c r="X38" s="313"/>
      <c r="Y38" s="313"/>
      <c r="Z38" s="313"/>
      <c r="AA38" s="313"/>
      <c r="AB38" s="313"/>
      <c r="AC38" s="313"/>
      <c r="AD38" s="313"/>
      <c r="AE38" s="313"/>
      <c r="AF38" s="313"/>
      <c r="AG38" s="313"/>
      <c r="AH38" s="313"/>
      <c r="AI38" s="313"/>
      <c r="AJ38" s="313"/>
      <c r="AK38" s="314" t="s">
        <v>467</v>
      </c>
    </row>
    <row r="39" spans="1:37" s="315" customFormat="1" ht="15.75" x14ac:dyDescent="0.15">
      <c r="A39" s="308"/>
      <c r="B39" s="309" t="s">
        <v>300</v>
      </c>
      <c r="C39" s="310"/>
      <c r="D39" s="310"/>
      <c r="E39" s="311"/>
      <c r="F39" s="312"/>
      <c r="G39" s="313"/>
      <c r="H39" s="313"/>
      <c r="I39" s="313"/>
      <c r="J39" s="313"/>
      <c r="K39" s="313"/>
      <c r="L39" s="313"/>
      <c r="M39" s="313"/>
      <c r="N39" s="313"/>
      <c r="O39" s="313"/>
      <c r="P39" s="313"/>
      <c r="Q39" s="313"/>
      <c r="R39" s="313"/>
      <c r="S39" s="313"/>
      <c r="T39" s="313"/>
      <c r="U39" s="313"/>
      <c r="V39" s="313"/>
      <c r="W39" s="313"/>
      <c r="X39" s="313"/>
      <c r="Y39" s="313"/>
      <c r="Z39" s="313"/>
      <c r="AA39" s="313"/>
      <c r="AB39" s="313"/>
      <c r="AC39" s="313"/>
      <c r="AD39" s="313"/>
      <c r="AE39" s="313"/>
      <c r="AF39" s="313"/>
      <c r="AG39" s="313"/>
      <c r="AH39" s="313"/>
      <c r="AI39" s="313"/>
      <c r="AJ39" s="313"/>
      <c r="AK39" s="314" t="s">
        <v>467</v>
      </c>
    </row>
    <row r="40" spans="1:37" s="315" customFormat="1" ht="15.75" x14ac:dyDescent="0.15">
      <c r="A40" s="308"/>
      <c r="B40" s="309" t="s">
        <v>301</v>
      </c>
      <c r="C40" s="310"/>
      <c r="D40" s="310"/>
      <c r="E40" s="311"/>
      <c r="F40" s="312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3"/>
      <c r="V40" s="313"/>
      <c r="W40" s="313"/>
      <c r="X40" s="313"/>
      <c r="Y40" s="313"/>
      <c r="Z40" s="313"/>
      <c r="AA40" s="313"/>
      <c r="AB40" s="313"/>
      <c r="AC40" s="313"/>
      <c r="AD40" s="313"/>
      <c r="AE40" s="313"/>
      <c r="AF40" s="313"/>
      <c r="AG40" s="313"/>
      <c r="AH40" s="313"/>
      <c r="AI40" s="313"/>
      <c r="AJ40" s="313"/>
      <c r="AK40" s="314" t="s">
        <v>468</v>
      </c>
    </row>
    <row r="41" spans="1:37" s="315" customFormat="1" ht="15.75" x14ac:dyDescent="0.15">
      <c r="A41" s="308"/>
      <c r="B41" s="309" t="s">
        <v>302</v>
      </c>
      <c r="C41" s="310"/>
      <c r="D41" s="310"/>
      <c r="E41" s="311"/>
      <c r="F41" s="312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3"/>
      <c r="V41" s="313"/>
      <c r="W41" s="313"/>
      <c r="X41" s="313"/>
      <c r="Y41" s="313"/>
      <c r="Z41" s="313"/>
      <c r="AA41" s="313"/>
      <c r="AB41" s="313"/>
      <c r="AC41" s="313"/>
      <c r="AD41" s="313"/>
      <c r="AE41" s="313"/>
      <c r="AF41" s="313"/>
      <c r="AG41" s="313"/>
      <c r="AH41" s="313"/>
      <c r="AI41" s="313"/>
      <c r="AJ41" s="313"/>
      <c r="AK41" s="314" t="s">
        <v>469</v>
      </c>
    </row>
    <row r="42" spans="1:37" s="315" customFormat="1" ht="15.75" x14ac:dyDescent="0.15">
      <c r="A42" s="308"/>
      <c r="B42" s="309" t="s">
        <v>303</v>
      </c>
      <c r="C42" s="310"/>
      <c r="D42" s="310"/>
      <c r="E42" s="311"/>
      <c r="F42" s="312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3"/>
      <c r="AD42" s="313"/>
      <c r="AE42" s="313"/>
      <c r="AF42" s="313"/>
      <c r="AG42" s="313"/>
      <c r="AH42" s="313"/>
      <c r="AI42" s="313"/>
      <c r="AJ42" s="313"/>
      <c r="AK42" s="314" t="s">
        <v>469</v>
      </c>
    </row>
    <row r="43" spans="1:37" s="315" customFormat="1" ht="15.75" x14ac:dyDescent="0.15">
      <c r="A43" s="308"/>
      <c r="B43" s="309" t="s">
        <v>304</v>
      </c>
      <c r="C43" s="310"/>
      <c r="D43" s="310"/>
      <c r="E43" s="311"/>
      <c r="F43" s="312"/>
      <c r="G43" s="313"/>
      <c r="H43" s="313"/>
      <c r="I43" s="313"/>
      <c r="J43" s="313"/>
      <c r="K43" s="313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  <c r="Y43" s="313"/>
      <c r="Z43" s="313"/>
      <c r="AA43" s="313"/>
      <c r="AB43" s="313"/>
      <c r="AC43" s="313"/>
      <c r="AD43" s="313"/>
      <c r="AE43" s="313"/>
      <c r="AF43" s="313"/>
      <c r="AG43" s="313"/>
      <c r="AH43" s="313"/>
      <c r="AI43" s="313"/>
      <c r="AJ43" s="313"/>
      <c r="AK43" s="314" t="s">
        <v>467</v>
      </c>
    </row>
    <row r="44" spans="1:37" s="315" customFormat="1" ht="15.75" x14ac:dyDescent="0.15">
      <c r="A44" s="308"/>
      <c r="B44" s="309" t="s">
        <v>305</v>
      </c>
      <c r="C44" s="310"/>
      <c r="D44" s="310"/>
      <c r="E44" s="311"/>
      <c r="F44" s="312"/>
      <c r="G44" s="313"/>
      <c r="H44" s="313"/>
      <c r="I44" s="313"/>
      <c r="J44" s="313"/>
      <c r="K44" s="313"/>
      <c r="L44" s="313"/>
      <c r="M44" s="313"/>
      <c r="N44" s="313"/>
      <c r="O44" s="313"/>
      <c r="P44" s="313"/>
      <c r="Q44" s="313"/>
      <c r="R44" s="313"/>
      <c r="S44" s="313"/>
      <c r="T44" s="313"/>
      <c r="U44" s="313"/>
      <c r="V44" s="313"/>
      <c r="W44" s="313"/>
      <c r="X44" s="313"/>
      <c r="Y44" s="313"/>
      <c r="Z44" s="313"/>
      <c r="AA44" s="313"/>
      <c r="AB44" s="313"/>
      <c r="AC44" s="313"/>
      <c r="AD44" s="313"/>
      <c r="AE44" s="313"/>
      <c r="AF44" s="313"/>
      <c r="AG44" s="313"/>
      <c r="AH44" s="313"/>
      <c r="AI44" s="313"/>
      <c r="AJ44" s="313"/>
      <c r="AK44" s="314" t="s">
        <v>469</v>
      </c>
    </row>
    <row r="45" spans="1:37" s="315" customFormat="1" ht="15.75" x14ac:dyDescent="0.15">
      <c r="A45" s="308"/>
      <c r="B45" s="309" t="s">
        <v>306</v>
      </c>
      <c r="C45" s="310"/>
      <c r="D45" s="310"/>
      <c r="E45" s="311"/>
      <c r="F45" s="312"/>
      <c r="G45" s="313"/>
      <c r="H45" s="313"/>
      <c r="I45" s="313"/>
      <c r="J45" s="313"/>
      <c r="K45" s="313"/>
      <c r="L45" s="313"/>
      <c r="M45" s="313"/>
      <c r="N45" s="313"/>
      <c r="O45" s="313"/>
      <c r="P45" s="313"/>
      <c r="Q45" s="313"/>
      <c r="R45" s="313"/>
      <c r="S45" s="313"/>
      <c r="T45" s="313"/>
      <c r="U45" s="313"/>
      <c r="V45" s="313"/>
      <c r="W45" s="313"/>
      <c r="X45" s="313"/>
      <c r="Y45" s="313"/>
      <c r="Z45" s="313"/>
      <c r="AA45" s="313"/>
      <c r="AB45" s="313"/>
      <c r="AC45" s="313"/>
      <c r="AD45" s="313"/>
      <c r="AE45" s="313"/>
      <c r="AF45" s="313"/>
      <c r="AG45" s="313"/>
      <c r="AH45" s="313"/>
      <c r="AI45" s="313"/>
      <c r="AJ45" s="313"/>
      <c r="AK45" s="314" t="s">
        <v>470</v>
      </c>
    </row>
    <row r="46" spans="1:37" s="315" customFormat="1" ht="15.75" x14ac:dyDescent="0.15">
      <c r="A46" s="308"/>
      <c r="B46" s="309" t="s">
        <v>307</v>
      </c>
      <c r="C46" s="310"/>
      <c r="D46" s="310"/>
      <c r="E46" s="311"/>
      <c r="F46" s="312"/>
      <c r="G46" s="313"/>
      <c r="H46" s="313"/>
      <c r="I46" s="313"/>
      <c r="J46" s="313"/>
      <c r="K46" s="313"/>
      <c r="L46" s="313"/>
      <c r="M46" s="313"/>
      <c r="N46" s="313"/>
      <c r="O46" s="313"/>
      <c r="P46" s="313"/>
      <c r="Q46" s="313"/>
      <c r="R46" s="313"/>
      <c r="S46" s="313"/>
      <c r="T46" s="313"/>
      <c r="U46" s="313"/>
      <c r="V46" s="313"/>
      <c r="W46" s="313"/>
      <c r="X46" s="313"/>
      <c r="Y46" s="313"/>
      <c r="Z46" s="313"/>
      <c r="AA46" s="313"/>
      <c r="AB46" s="313"/>
      <c r="AC46" s="313"/>
      <c r="AD46" s="313"/>
      <c r="AE46" s="313"/>
      <c r="AF46" s="313"/>
      <c r="AG46" s="313"/>
      <c r="AH46" s="313"/>
      <c r="AI46" s="313"/>
      <c r="AJ46" s="313"/>
      <c r="AK46" s="314" t="s">
        <v>467</v>
      </c>
    </row>
    <row r="47" spans="1:37" s="315" customFormat="1" ht="16.5" thickBot="1" x14ac:dyDescent="0.2">
      <c r="A47" s="308"/>
      <c r="B47" s="316" t="s">
        <v>308</v>
      </c>
      <c r="C47" s="317"/>
      <c r="D47" s="317"/>
      <c r="E47" s="318"/>
      <c r="F47" s="319"/>
      <c r="G47" s="320"/>
      <c r="H47" s="320"/>
      <c r="I47" s="320"/>
      <c r="J47" s="320"/>
      <c r="K47" s="320"/>
      <c r="L47" s="320"/>
      <c r="M47" s="320"/>
      <c r="N47" s="320"/>
      <c r="O47" s="320"/>
      <c r="P47" s="320"/>
      <c r="Q47" s="320"/>
      <c r="R47" s="320"/>
      <c r="S47" s="320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I47" s="320"/>
      <c r="AJ47" s="320"/>
      <c r="AK47" s="321" t="s">
        <v>467</v>
      </c>
    </row>
    <row r="48" spans="1:37" ht="7.5" customHeight="1" thickBot="1" x14ac:dyDescent="0.2"/>
    <row r="49" spans="2:37" ht="15" customHeight="1" thickBot="1" x14ac:dyDescent="0.2">
      <c r="B49" s="322" t="s">
        <v>309</v>
      </c>
      <c r="C49" s="323"/>
      <c r="D49" s="323"/>
      <c r="E49" s="324"/>
      <c r="F49" s="325" t="s">
        <v>310</v>
      </c>
      <c r="G49" s="323"/>
      <c r="H49" s="324"/>
      <c r="I49" s="326" t="s">
        <v>311</v>
      </c>
      <c r="J49" s="327"/>
      <c r="K49" s="327"/>
      <c r="L49" s="327"/>
      <c r="M49" s="327"/>
      <c r="N49" s="327"/>
      <c r="O49" s="328"/>
      <c r="Q49" s="329" t="s">
        <v>312</v>
      </c>
      <c r="R49" s="329"/>
      <c r="S49" s="329"/>
      <c r="T49" s="329"/>
      <c r="U49" s="329"/>
      <c r="V49" s="329"/>
      <c r="W49" s="329"/>
      <c r="X49" s="329"/>
      <c r="Y49" s="329"/>
      <c r="Z49" s="329"/>
      <c r="AA49" s="329"/>
      <c r="AB49" s="329"/>
      <c r="AC49" s="329"/>
      <c r="AD49" s="329"/>
      <c r="AE49" s="329"/>
      <c r="AF49" s="329"/>
      <c r="AG49" s="329"/>
      <c r="AH49" s="329"/>
      <c r="AI49" s="329"/>
      <c r="AJ49" s="329"/>
      <c r="AK49" s="329"/>
    </row>
    <row r="50" spans="2:37" ht="15" customHeight="1" x14ac:dyDescent="0.15">
      <c r="B50" s="330" t="s">
        <v>313</v>
      </c>
      <c r="C50" s="331"/>
      <c r="D50" s="331"/>
      <c r="E50" s="332"/>
      <c r="F50" s="333" t="s">
        <v>0</v>
      </c>
      <c r="G50" s="331"/>
      <c r="H50" s="332"/>
      <c r="I50" s="334"/>
      <c r="J50" s="335"/>
      <c r="K50" s="335"/>
      <c r="L50" s="335"/>
      <c r="M50" s="335"/>
      <c r="N50" s="335"/>
      <c r="O50" s="336"/>
      <c r="Q50" s="337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9"/>
    </row>
    <row r="51" spans="2:37" ht="15" customHeight="1" x14ac:dyDescent="0.15">
      <c r="B51" s="330" t="s">
        <v>314</v>
      </c>
      <c r="C51" s="331"/>
      <c r="D51" s="331"/>
      <c r="E51" s="332"/>
      <c r="F51" s="333" t="s">
        <v>315</v>
      </c>
      <c r="G51" s="331"/>
      <c r="H51" s="332"/>
      <c r="I51" s="340" t="s">
        <v>316</v>
      </c>
      <c r="J51" s="341"/>
      <c r="K51" s="341"/>
      <c r="L51" s="341"/>
      <c r="M51" s="341"/>
      <c r="N51" s="341"/>
      <c r="O51" s="342"/>
      <c r="Q51" s="343"/>
      <c r="R51" s="344"/>
      <c r="S51" s="344"/>
      <c r="T51" s="344"/>
      <c r="U51" s="344"/>
      <c r="V51" s="344"/>
      <c r="W51" s="344"/>
      <c r="X51" s="344"/>
      <c r="Y51" s="344"/>
      <c r="Z51" s="344"/>
      <c r="AA51" s="344"/>
      <c r="AB51" s="344"/>
      <c r="AC51" s="344"/>
      <c r="AD51" s="344"/>
      <c r="AE51" s="344"/>
      <c r="AF51" s="344"/>
      <c r="AG51" s="344"/>
      <c r="AH51" s="344"/>
      <c r="AI51" s="344"/>
      <c r="AJ51" s="344"/>
      <c r="AK51" s="345"/>
    </row>
    <row r="52" spans="2:37" ht="15" customHeight="1" x14ac:dyDescent="0.15">
      <c r="B52" s="330" t="s">
        <v>317</v>
      </c>
      <c r="C52" s="331"/>
      <c r="D52" s="331"/>
      <c r="E52" s="332"/>
      <c r="F52" s="333" t="s">
        <v>318</v>
      </c>
      <c r="G52" s="331"/>
      <c r="H52" s="332"/>
      <c r="I52" s="346" t="s">
        <v>319</v>
      </c>
      <c r="J52" s="347"/>
      <c r="K52" s="347"/>
      <c r="L52" s="347"/>
      <c r="M52" s="347"/>
      <c r="N52" s="347"/>
      <c r="O52" s="348"/>
      <c r="Q52" s="343"/>
      <c r="R52" s="344"/>
      <c r="S52" s="344"/>
      <c r="T52" s="344"/>
      <c r="U52" s="344"/>
      <c r="V52" s="344"/>
      <c r="W52" s="344"/>
      <c r="X52" s="344"/>
      <c r="Y52" s="344"/>
      <c r="Z52" s="344"/>
      <c r="AA52" s="344"/>
      <c r="AB52" s="344"/>
      <c r="AC52" s="344"/>
      <c r="AD52" s="344"/>
      <c r="AE52" s="344"/>
      <c r="AF52" s="344"/>
      <c r="AG52" s="344"/>
      <c r="AH52" s="344"/>
      <c r="AI52" s="344"/>
      <c r="AJ52" s="344"/>
      <c r="AK52" s="345"/>
    </row>
    <row r="53" spans="2:37" ht="15" customHeight="1" x14ac:dyDescent="0.15">
      <c r="B53" s="330" t="s">
        <v>320</v>
      </c>
      <c r="C53" s="331"/>
      <c r="D53" s="331"/>
      <c r="E53" s="332"/>
      <c r="F53" s="333" t="s">
        <v>1</v>
      </c>
      <c r="G53" s="331"/>
      <c r="H53" s="332"/>
      <c r="I53" s="349"/>
      <c r="J53" s="350"/>
      <c r="K53" s="350"/>
      <c r="L53" s="350"/>
      <c r="M53" s="350"/>
      <c r="N53" s="350"/>
      <c r="O53" s="351"/>
      <c r="Q53" s="343"/>
      <c r="R53" s="344"/>
      <c r="S53" s="344"/>
      <c r="T53" s="344"/>
      <c r="U53" s="344"/>
      <c r="V53" s="344"/>
      <c r="W53" s="344"/>
      <c r="X53" s="344"/>
      <c r="Y53" s="344"/>
      <c r="Z53" s="344"/>
      <c r="AA53" s="344"/>
      <c r="AB53" s="344"/>
      <c r="AC53" s="344"/>
      <c r="AD53" s="344"/>
      <c r="AE53" s="344"/>
      <c r="AF53" s="344"/>
      <c r="AG53" s="344"/>
      <c r="AH53" s="344"/>
      <c r="AI53" s="344"/>
      <c r="AJ53" s="344"/>
      <c r="AK53" s="345"/>
    </row>
    <row r="54" spans="2:37" ht="15" customHeight="1" x14ac:dyDescent="0.15">
      <c r="B54" s="330" t="s">
        <v>321</v>
      </c>
      <c r="C54" s="331"/>
      <c r="D54" s="331"/>
      <c r="E54" s="332"/>
      <c r="F54" s="333" t="s">
        <v>2</v>
      </c>
      <c r="G54" s="331"/>
      <c r="H54" s="332"/>
      <c r="I54" s="334"/>
      <c r="J54" s="335"/>
      <c r="K54" s="335"/>
      <c r="L54" s="335"/>
      <c r="M54" s="335"/>
      <c r="N54" s="335"/>
      <c r="O54" s="336"/>
      <c r="Q54" s="343"/>
      <c r="R54" s="344"/>
      <c r="S54" s="344"/>
      <c r="T54" s="344"/>
      <c r="U54" s="344"/>
      <c r="V54" s="344"/>
      <c r="W54" s="344"/>
      <c r="X54" s="344"/>
      <c r="Y54" s="344"/>
      <c r="Z54" s="344"/>
      <c r="AA54" s="344"/>
      <c r="AB54" s="344"/>
      <c r="AC54" s="344"/>
      <c r="AD54" s="344"/>
      <c r="AE54" s="344"/>
      <c r="AF54" s="344"/>
      <c r="AG54" s="344"/>
      <c r="AH54" s="344"/>
      <c r="AI54" s="344"/>
      <c r="AJ54" s="344"/>
      <c r="AK54" s="345"/>
    </row>
    <row r="55" spans="2:37" ht="15" customHeight="1" x14ac:dyDescent="0.15">
      <c r="B55" s="330" t="s">
        <v>322</v>
      </c>
      <c r="C55" s="331"/>
      <c r="D55" s="331"/>
      <c r="E55" s="332"/>
      <c r="F55" s="333" t="str">
        <f>"1"</f>
        <v>1</v>
      </c>
      <c r="G55" s="331"/>
      <c r="H55" s="332"/>
      <c r="I55" s="346" t="s">
        <v>323</v>
      </c>
      <c r="J55" s="347"/>
      <c r="K55" s="347"/>
      <c r="L55" s="347"/>
      <c r="M55" s="347"/>
      <c r="N55" s="347"/>
      <c r="O55" s="348"/>
      <c r="Q55" s="343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344"/>
      <c r="AJ55" s="344"/>
      <c r="AK55" s="345"/>
    </row>
    <row r="56" spans="2:37" ht="15" customHeight="1" x14ac:dyDescent="0.15">
      <c r="B56" s="352" t="s">
        <v>324</v>
      </c>
      <c r="C56" s="347"/>
      <c r="D56" s="347"/>
      <c r="E56" s="347"/>
      <c r="F56" s="347"/>
      <c r="G56" s="347"/>
      <c r="H56" s="353"/>
      <c r="I56" s="334"/>
      <c r="J56" s="335"/>
      <c r="K56" s="335"/>
      <c r="L56" s="335"/>
      <c r="M56" s="335"/>
      <c r="N56" s="335"/>
      <c r="O56" s="336"/>
      <c r="Q56" s="343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344"/>
      <c r="AJ56" s="344"/>
      <c r="AK56" s="345"/>
    </row>
    <row r="57" spans="2:37" ht="15" customHeight="1" x14ac:dyDescent="0.15">
      <c r="B57" s="354"/>
      <c r="C57" s="350"/>
      <c r="D57" s="350"/>
      <c r="E57" s="350"/>
      <c r="F57" s="350"/>
      <c r="G57" s="350"/>
      <c r="H57" s="355"/>
      <c r="I57" s="346" t="s">
        <v>325</v>
      </c>
      <c r="J57" s="347"/>
      <c r="K57" s="347"/>
      <c r="L57" s="347"/>
      <c r="M57" s="347"/>
      <c r="N57" s="347"/>
      <c r="O57" s="348"/>
      <c r="Q57" s="343"/>
      <c r="R57" s="344"/>
      <c r="S57" s="344"/>
      <c r="T57" s="344"/>
      <c r="U57" s="344"/>
      <c r="V57" s="344"/>
      <c r="W57" s="344"/>
      <c r="X57" s="344"/>
      <c r="Y57" s="344"/>
      <c r="Z57" s="344"/>
      <c r="AA57" s="344"/>
      <c r="AB57" s="344"/>
      <c r="AC57" s="344"/>
      <c r="AD57" s="344"/>
      <c r="AE57" s="344"/>
      <c r="AF57" s="344"/>
      <c r="AG57" s="344"/>
      <c r="AH57" s="344"/>
      <c r="AI57" s="344"/>
      <c r="AJ57" s="344"/>
      <c r="AK57" s="345"/>
    </row>
    <row r="58" spans="2:37" ht="15" customHeight="1" thickBot="1" x14ac:dyDescent="0.2">
      <c r="B58" s="356"/>
      <c r="C58" s="357"/>
      <c r="D58" s="357"/>
      <c r="E58" s="357"/>
      <c r="F58" s="357"/>
      <c r="G58" s="357"/>
      <c r="H58" s="358"/>
      <c r="I58" s="359"/>
      <c r="J58" s="357"/>
      <c r="K58" s="357"/>
      <c r="L58" s="357"/>
      <c r="M58" s="357"/>
      <c r="N58" s="357"/>
      <c r="O58" s="360"/>
      <c r="Q58" s="361"/>
      <c r="R58" s="362"/>
      <c r="S58" s="362"/>
      <c r="T58" s="362"/>
      <c r="U58" s="362"/>
      <c r="V58" s="362"/>
      <c r="W58" s="362"/>
      <c r="X58" s="362"/>
      <c r="Y58" s="362"/>
      <c r="Z58" s="362"/>
      <c r="AA58" s="362"/>
      <c r="AB58" s="362"/>
      <c r="AC58" s="362"/>
      <c r="AD58" s="362"/>
      <c r="AE58" s="362"/>
      <c r="AF58" s="362"/>
      <c r="AG58" s="362"/>
      <c r="AH58" s="362"/>
      <c r="AI58" s="362"/>
      <c r="AJ58" s="362"/>
      <c r="AK58" s="363"/>
    </row>
  </sheetData>
  <mergeCells count="228">
    <mergeCell ref="AM8:AN8"/>
    <mergeCell ref="AM9:AN9"/>
    <mergeCell ref="AM10:AN10"/>
    <mergeCell ref="AM11:AN11"/>
    <mergeCell ref="AO8:AZ8"/>
    <mergeCell ref="AO9:AZ9"/>
    <mergeCell ref="AO10:AZ10"/>
    <mergeCell ref="AO11:AZ11"/>
    <mergeCell ref="AF32:AK32"/>
    <mergeCell ref="AD23:AK23"/>
    <mergeCell ref="AD20:AE20"/>
    <mergeCell ref="AF20:AG20"/>
    <mergeCell ref="R12:S12"/>
    <mergeCell ref="T12:U12"/>
    <mergeCell ref="V12:W12"/>
    <mergeCell ref="X12:Z12"/>
    <mergeCell ref="AA12:AC12"/>
    <mergeCell ref="AB9:AC9"/>
    <mergeCell ref="T9:U10"/>
    <mergeCell ref="L9:M10"/>
    <mergeCell ref="K14:S14"/>
    <mergeCell ref="AC14:AK14"/>
    <mergeCell ref="N10:O10"/>
    <mergeCell ref="R11:S11"/>
    <mergeCell ref="T11:U11"/>
    <mergeCell ref="J9:K9"/>
    <mergeCell ref="N9:O9"/>
    <mergeCell ref="R9:S9"/>
    <mergeCell ref="R10:S10"/>
    <mergeCell ref="J10:K10"/>
    <mergeCell ref="J11:L11"/>
    <mergeCell ref="M11:P11"/>
    <mergeCell ref="X9:Y10"/>
    <mergeCell ref="Z10:AA10"/>
    <mergeCell ref="V9:W10"/>
    <mergeCell ref="T14:U14"/>
    <mergeCell ref="B14:C14"/>
    <mergeCell ref="E14:F14"/>
    <mergeCell ref="B56:H58"/>
    <mergeCell ref="I57:O58"/>
    <mergeCell ref="I55:O56"/>
    <mergeCell ref="B55:E55"/>
    <mergeCell ref="F55:H55"/>
    <mergeCell ref="B54:E54"/>
    <mergeCell ref="F54:H54"/>
    <mergeCell ref="B49:E49"/>
    <mergeCell ref="F49:H49"/>
    <mergeCell ref="I49:O50"/>
    <mergeCell ref="B50:E50"/>
    <mergeCell ref="F50:H50"/>
    <mergeCell ref="B53:E53"/>
    <mergeCell ref="F53:H53"/>
    <mergeCell ref="B52:E52"/>
    <mergeCell ref="F52:H52"/>
    <mergeCell ref="I52:O54"/>
    <mergeCell ref="B51:E51"/>
    <mergeCell ref="F51:H51"/>
    <mergeCell ref="I51:O51"/>
    <mergeCell ref="F47:AJ47"/>
    <mergeCell ref="Q50:AK58"/>
    <mergeCell ref="Q3:S4"/>
    <mergeCell ref="U3:V4"/>
    <mergeCell ref="Q49:AK49"/>
    <mergeCell ref="AD28:AK31"/>
    <mergeCell ref="AF33:AK33"/>
    <mergeCell ref="AC25:AC26"/>
    <mergeCell ref="AD25:AK25"/>
    <mergeCell ref="AD26:AK26"/>
    <mergeCell ref="AE2:AK12"/>
    <mergeCell ref="AC23:AC24"/>
    <mergeCell ref="AD24:AK24"/>
    <mergeCell ref="AD21:AK22"/>
    <mergeCell ref="AC16:AC22"/>
    <mergeCell ref="AC27:AC31"/>
    <mergeCell ref="AD27:AK27"/>
    <mergeCell ref="AD16:AJ16"/>
    <mergeCell ref="AD17:AE17"/>
    <mergeCell ref="AF17:AH17"/>
    <mergeCell ref="AD18:AE18"/>
    <mergeCell ref="AF18:AK18"/>
    <mergeCell ref="AD19:AE19"/>
    <mergeCell ref="AF19:AG19"/>
    <mergeCell ref="AH19:AI19"/>
    <mergeCell ref="AJ19:AK19"/>
    <mergeCell ref="B10:C10"/>
    <mergeCell ref="AC35:AE35"/>
    <mergeCell ref="D10:I10"/>
    <mergeCell ref="AH20:AI20"/>
    <mergeCell ref="AJ20:AK20"/>
    <mergeCell ref="J2:AD2"/>
    <mergeCell ref="Q7:S8"/>
    <mergeCell ref="AB3:AC4"/>
    <mergeCell ref="B4:C4"/>
    <mergeCell ref="D4:I4"/>
    <mergeCell ref="B2:I2"/>
    <mergeCell ref="B9:C9"/>
    <mergeCell ref="D9:I9"/>
    <mergeCell ref="P9:Q10"/>
    <mergeCell ref="X3:Z4"/>
    <mergeCell ref="AB5:AC6"/>
    <mergeCell ref="B6:C6"/>
    <mergeCell ref="D6:E6"/>
    <mergeCell ref="F6:G6"/>
    <mergeCell ref="H6:I6"/>
    <mergeCell ref="B3:C3"/>
    <mergeCell ref="D3:I3"/>
    <mergeCell ref="J3:L4"/>
    <mergeCell ref="N3:O4"/>
    <mergeCell ref="W14:X14"/>
    <mergeCell ref="AC15:AH15"/>
    <mergeCell ref="V11:W11"/>
    <mergeCell ref="X11:Z11"/>
    <mergeCell ref="AA11:AC11"/>
    <mergeCell ref="AD7:AD12"/>
    <mergeCell ref="AB10:AC10"/>
    <mergeCell ref="Z9:AA9"/>
    <mergeCell ref="B5:C5"/>
    <mergeCell ref="D5:I5"/>
    <mergeCell ref="J5:L6"/>
    <mergeCell ref="N5:O6"/>
    <mergeCell ref="Q5:S6"/>
    <mergeCell ref="B8:C8"/>
    <mergeCell ref="D8:I8"/>
    <mergeCell ref="X7:Z8"/>
    <mergeCell ref="AB7:AC8"/>
    <mergeCell ref="B7:C7"/>
    <mergeCell ref="D7:I7"/>
    <mergeCell ref="J7:L8"/>
    <mergeCell ref="N7:O8"/>
    <mergeCell ref="X5:Z6"/>
    <mergeCell ref="U7:V8"/>
    <mergeCell ref="U5:V6"/>
    <mergeCell ref="C19:E19"/>
    <mergeCell ref="U19:W19"/>
    <mergeCell ref="L23:N23"/>
    <mergeCell ref="L19:N19"/>
    <mergeCell ref="U20:W20"/>
    <mergeCell ref="L24:N24"/>
    <mergeCell ref="L28:N28"/>
    <mergeCell ref="C32:E32"/>
    <mergeCell ref="U29:W29"/>
    <mergeCell ref="L29:N29"/>
    <mergeCell ref="U27:W27"/>
    <mergeCell ref="C29:E29"/>
    <mergeCell ref="L34:N34"/>
    <mergeCell ref="F43:AJ43"/>
    <mergeCell ref="F44:AJ44"/>
    <mergeCell ref="F45:AJ45"/>
    <mergeCell ref="F46:AJ46"/>
    <mergeCell ref="F38:AJ38"/>
    <mergeCell ref="F39:AJ39"/>
    <mergeCell ref="B37:AH37"/>
    <mergeCell ref="AI37:AK37"/>
    <mergeCell ref="AF35:AG35"/>
    <mergeCell ref="AF34:AI34"/>
    <mergeCell ref="AJ34:AK34"/>
    <mergeCell ref="B47:E47"/>
    <mergeCell ref="B44:E44"/>
    <mergeCell ref="B45:E45"/>
    <mergeCell ref="B46:E46"/>
    <mergeCell ref="AC32:AE32"/>
    <mergeCell ref="C17:E17"/>
    <mergeCell ref="C16:E16"/>
    <mergeCell ref="U21:W21"/>
    <mergeCell ref="L25:N25"/>
    <mergeCell ref="U22:W22"/>
    <mergeCell ref="L26:N26"/>
    <mergeCell ref="L20:N20"/>
    <mergeCell ref="C22:E22"/>
    <mergeCell ref="U23:W23"/>
    <mergeCell ref="L27:N27"/>
    <mergeCell ref="C23:E23"/>
    <mergeCell ref="U24:W24"/>
    <mergeCell ref="C24:E24"/>
    <mergeCell ref="U25:W25"/>
    <mergeCell ref="C21:E21"/>
    <mergeCell ref="C20:E20"/>
    <mergeCell ref="F40:AJ40"/>
    <mergeCell ref="F41:AJ41"/>
    <mergeCell ref="F42:AJ42"/>
    <mergeCell ref="C15:E15"/>
    <mergeCell ref="B43:E43"/>
    <mergeCell ref="L17:N17"/>
    <mergeCell ref="U35:W35"/>
    <mergeCell ref="C30:E30"/>
    <mergeCell ref="L35:N35"/>
    <mergeCell ref="C31:E31"/>
    <mergeCell ref="U15:W15"/>
    <mergeCell ref="C33:E33"/>
    <mergeCell ref="U30:W30"/>
    <mergeCell ref="C25:E25"/>
    <mergeCell ref="U26:W26"/>
    <mergeCell ref="L30:N30"/>
    <mergeCell ref="C34:E34"/>
    <mergeCell ref="U31:W31"/>
    <mergeCell ref="C26:E26"/>
    <mergeCell ref="C18:E18"/>
    <mergeCell ref="L33:N33"/>
    <mergeCell ref="U17:W17"/>
    <mergeCell ref="L21:N21"/>
    <mergeCell ref="U18:W18"/>
    <mergeCell ref="L22:N22"/>
    <mergeCell ref="L18:N18"/>
    <mergeCell ref="U34:W34"/>
    <mergeCell ref="D11:I11"/>
    <mergeCell ref="B12:C12"/>
    <mergeCell ref="D12:I12"/>
    <mergeCell ref="U16:W16"/>
    <mergeCell ref="AC33:AE33"/>
    <mergeCell ref="AC34:AE34"/>
    <mergeCell ref="B41:E41"/>
    <mergeCell ref="B42:E42"/>
    <mergeCell ref="B38:E38"/>
    <mergeCell ref="B39:E39"/>
    <mergeCell ref="B40:E40"/>
    <mergeCell ref="C35:E35"/>
    <mergeCell ref="J12:L12"/>
    <mergeCell ref="M12:P12"/>
    <mergeCell ref="L16:N16"/>
    <mergeCell ref="L31:N31"/>
    <mergeCell ref="U32:W32"/>
    <mergeCell ref="C27:E27"/>
    <mergeCell ref="U28:W28"/>
    <mergeCell ref="L32:N32"/>
    <mergeCell ref="L15:N15"/>
    <mergeCell ref="U33:W33"/>
    <mergeCell ref="C28:E28"/>
    <mergeCell ref="B11:C11"/>
  </mergeCells>
  <phoneticPr fontId="4" type="noConversion"/>
  <conditionalFormatting sqref="H13">
    <cfRule type="expression" dxfId="2" priority="10">
      <formula>hprate&lt;0.15</formula>
    </cfRule>
    <cfRule type="expression" dxfId="1" priority="11">
      <formula>AND(hprate&lt;0.5,hprate&gt;=0.15)</formula>
    </cfRule>
    <cfRule type="expression" dxfId="0" priority="12">
      <formula>hprate&gt;=0.5</formula>
    </cfRule>
  </conditionalFormatting>
  <conditionalFormatting sqref="AO9:AZ9">
    <cfRule type="dataBar" priority="4">
      <dataBar>
        <cfvo type="num" val="0"/>
        <cfvo type="formula" val="maxmp"/>
        <color rgb="FF00B0F0"/>
      </dataBar>
    </cfRule>
  </conditionalFormatting>
  <conditionalFormatting sqref="AO10:AZ10">
    <cfRule type="dataBar" priority="3">
      <dataBar>
        <cfvo type="num" val="0"/>
        <cfvo type="formula" val="99-cthmy"/>
        <color rgb="FF63C384"/>
      </dataBar>
    </cfRule>
  </conditionalFormatting>
  <conditionalFormatting sqref="AO8:AZ8">
    <cfRule type="dataBar" priority="2">
      <dataBar>
        <cfvo type="num" val="0"/>
        <cfvo type="formula" val="maxhp"/>
        <color rgb="FFFF555A"/>
      </dataBar>
    </cfRule>
  </conditionalFormatting>
  <conditionalFormatting sqref="AO11:AZ11">
    <cfRule type="dataBar" priority="1">
      <dataBar>
        <cfvo type="num" val="0"/>
        <cfvo type="formula" val="99"/>
        <color rgb="FFFFB628"/>
      </dataBar>
    </cfRule>
  </conditionalFormatting>
  <dataValidations count="21">
    <dataValidation allowBlank="1" showInputMessage="1" sqref="H6:I6 T15:T35 K15:K35"/>
    <dataValidation type="list" allowBlank="1" showInputMessage="1" sqref="M11:P12">
      <formula1>"烧伤,眩晕"</formula1>
    </dataValidation>
    <dataValidation allowBlank="1" showInputMessage="1" showErrorMessage="1" promptTitle="临时MOV修正" prompt="追逐战等场合使用" sqref="AA8"/>
    <dataValidation allowBlank="1" showInputMessage="1" showErrorMessage="1" promptTitle="临时修正列" prompt="游戏中产生的各种临时修正" sqref="G14"/>
    <dataValidation allowBlank="1" showInputMessage="1" showErrorMessage="1" promptTitle="基础值" prompt="建卡时的卡面技能值" sqref="E14:F14"/>
    <dataValidation allowBlank="1" showInputMessage="1" showErrorMessage="1" promptTitle="普通难度" prompt="普通难度成功的目标值" sqref="H14"/>
    <dataValidation allowBlank="1" showInputMessage="1" showErrorMessage="1" promptTitle="困难成功" prompt="困难难度成功的目标值" sqref="I14"/>
    <dataValidation allowBlank="1" showInputMessage="1" showErrorMessage="1" promptTitle="极难成功" prompt="极难难度成功的目标值" sqref="J14"/>
    <dataValidation allowBlank="1" showInputMessage="1" showErrorMessage="1" promptTitle="提升检定" prompt="标志该技能可以在幕间进行提升" sqref="B14:C14"/>
    <dataValidation allowBlank="1" showInputMessage="1" showErrorMessage="1" promptTitle="半值属性" prompt="困难难度成功的目标值" sqref="P3"/>
    <dataValidation allowBlank="1" showInputMessage="1" showErrorMessage="1" promptTitle="五分属性值" prompt="极难难度成功的目标值" sqref="P4"/>
    <dataValidation allowBlank="1" showInputMessage="1" showErrorMessage="1" promptTitle="临时修正" prompt="游戏中产生的临时修正值" sqref="M4"/>
    <dataValidation allowBlank="1" showInputMessage="1" showErrorMessage="1" promptTitle="余弹量" prompt="武器的余弹量或其他参数。" sqref="AK16"/>
    <dataValidation allowBlank="1" showInputMessage="1" showErrorMessage="1" promptTitle="换行控制" prompt="输入任意字符，可以控制该行所占的行数，显示出所有的人物背景信息" sqref="AI37:AK37"/>
    <dataValidation allowBlank="1" showInputMessage="1" showErrorMessage="1" promptTitle="团名" prompt="团名和时代背景等信息" sqref="B2:I2"/>
    <dataValidation allowBlank="1" showInputMessage="1" promptTitle="职业" prompt="默认等同于职业模板，可以自行修改" sqref="D5:I5"/>
    <dataValidation allowBlank="1" showInputMessage="1" showErrorMessage="1" promptTitle="当前db" prompt="参考修正值的伤害加值" sqref="AB9:AC9"/>
    <dataValidation allowBlank="1" showInputMessage="1" showErrorMessage="1" promptTitle="重伤" prompt="在单次攻击中失去的HP≥1/2MaxHP" sqref="R11:S11"/>
    <dataValidation allowBlank="1" showInputMessage="1" showErrorMessage="1" promptTitle="昏迷" prompt="HP=0但是没有受到重伤" sqref="T11:U11"/>
    <dataValidation allowBlank="1" showInputMessage="1" showErrorMessage="1" promptTitle="濒死" prompt="HP=0且受到了重伤；需要急救来暂时性地稳定伤势，并且通过医学来进行后续治疗" sqref="V11:W11"/>
    <dataValidation allowBlank="1" showInputMessage="1" showErrorMessage="1" prompt="防具请在道具栏中列出" sqref="AC23:AC2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17</xdr:col>
                    <xdr:colOff>152400</xdr:colOff>
                    <xdr:row>10</xdr:row>
                    <xdr:rowOff>180975</xdr:rowOff>
                  </from>
                  <to>
                    <xdr:col>18</xdr:col>
                    <xdr:colOff>200025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19</xdr:col>
                    <xdr:colOff>161925</xdr:colOff>
                    <xdr:row>10</xdr:row>
                    <xdr:rowOff>180975</xdr:rowOff>
                  </from>
                  <to>
                    <xdr:col>20</xdr:col>
                    <xdr:colOff>209550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Check Box 12">
              <controlPr defaultSize="0" autoFill="0" autoLine="0" autoPict="0">
                <anchor moveWithCells="1">
                  <from>
                    <xdr:col>21</xdr:col>
                    <xdr:colOff>152400</xdr:colOff>
                    <xdr:row>10</xdr:row>
                    <xdr:rowOff>180975</xdr:rowOff>
                  </from>
                  <to>
                    <xdr:col>22</xdr:col>
                    <xdr:colOff>200025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defaultSize="0" autoFill="0" autoLine="0" autoPict="0">
                <anchor moveWithCells="1">
                  <from>
                    <xdr:col>24</xdr:col>
                    <xdr:colOff>19050</xdr:colOff>
                    <xdr:row>10</xdr:row>
                    <xdr:rowOff>180975</xdr:rowOff>
                  </from>
                  <to>
                    <xdr:col>25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defaultSize="0" autoFill="0" autoLine="0" autoPict="0">
                <anchor moveWithCells="1">
                  <from>
                    <xdr:col>27</xdr:col>
                    <xdr:colOff>19050</xdr:colOff>
                    <xdr:row>10</xdr:row>
                    <xdr:rowOff>180975</xdr:rowOff>
                  </from>
                  <to>
                    <xdr:col>28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Check Box 19">
              <controlPr defaultSize="0" autoFill="0" autoLine="0" autoPict="0">
                <anchor moveWithCells="1">
                  <from>
                    <xdr:col>1</xdr:col>
                    <xdr:colOff>28575</xdr:colOff>
                    <xdr:row>13</xdr:row>
                    <xdr:rowOff>304800</xdr:rowOff>
                  </from>
                  <to>
                    <xdr:col>2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1</xdr:col>
                    <xdr:colOff>28575</xdr:colOff>
                    <xdr:row>14</xdr:row>
                    <xdr:rowOff>180975</xdr:rowOff>
                  </from>
                  <to>
                    <xdr:col>2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Check Box 21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180975</xdr:rowOff>
                  </from>
                  <to>
                    <xdr:col>2</xdr:col>
                    <xdr:colOff>76200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Check Box 22">
              <controlPr defaultSize="0" autoFill="0" autoLine="0" autoPict="0">
                <anchor moveWithCells="1">
                  <from>
                    <xdr:col>1</xdr:col>
                    <xdr:colOff>28575</xdr:colOff>
                    <xdr:row>16</xdr:row>
                    <xdr:rowOff>180975</xdr:rowOff>
                  </from>
                  <to>
                    <xdr:col>2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Check Box 23">
              <controlPr defaultSize="0" autoFill="0" autoLine="0" autoPict="0">
                <anchor moveWithCells="1">
                  <from>
                    <xdr:col>1</xdr:col>
                    <xdr:colOff>28575</xdr:colOff>
                    <xdr:row>17</xdr:row>
                    <xdr:rowOff>180975</xdr:rowOff>
                  </from>
                  <to>
                    <xdr:col>2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Check Box 24">
              <controlPr defaultSize="0" autoFill="0" autoLine="0" autoPict="0">
                <anchor moveWithCells="1">
                  <from>
                    <xdr:col>1</xdr:col>
                    <xdr:colOff>28575</xdr:colOff>
                    <xdr:row>18</xdr:row>
                    <xdr:rowOff>180975</xdr:rowOff>
                  </from>
                  <to>
                    <xdr:col>2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Check Box 25">
              <controlPr defaultSize="0" autoFill="0" autoLine="0" autoPict="0">
                <anchor moveWithCells="1">
                  <from>
                    <xdr:col>1</xdr:col>
                    <xdr:colOff>28575</xdr:colOff>
                    <xdr:row>19</xdr:row>
                    <xdr:rowOff>180975</xdr:rowOff>
                  </from>
                  <to>
                    <xdr:col>2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Check Box 26">
              <controlPr defaultSize="0" autoFill="0" autoLine="0" autoPict="0">
                <anchor moveWithCells="1">
                  <from>
                    <xdr:col>1</xdr:col>
                    <xdr:colOff>28575</xdr:colOff>
                    <xdr:row>20</xdr:row>
                    <xdr:rowOff>180975</xdr:rowOff>
                  </from>
                  <to>
                    <xdr:col>2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Check Box 27">
              <controlPr defaultSize="0" autoFill="0" autoLine="0" autoPict="0">
                <anchor moveWithCells="1">
                  <from>
                    <xdr:col>1</xdr:col>
                    <xdr:colOff>28575</xdr:colOff>
                    <xdr:row>21</xdr:row>
                    <xdr:rowOff>180975</xdr:rowOff>
                  </from>
                  <to>
                    <xdr:col>2</xdr:col>
                    <xdr:colOff>76200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Check Box 28">
              <controlPr defaultSize="0" autoFill="0" autoLine="0" autoPict="0">
                <anchor moveWithCells="1">
                  <from>
                    <xdr:col>1</xdr:col>
                    <xdr:colOff>28575</xdr:colOff>
                    <xdr:row>22</xdr:row>
                    <xdr:rowOff>171450</xdr:rowOff>
                  </from>
                  <to>
                    <xdr:col>2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Check Box 29">
              <controlPr defaultSize="0" autoFill="0" autoLine="0" autoPict="0">
                <anchor moveWithCells="1">
                  <from>
                    <xdr:col>1</xdr:col>
                    <xdr:colOff>28575</xdr:colOff>
                    <xdr:row>25</xdr:row>
                    <xdr:rowOff>180975</xdr:rowOff>
                  </from>
                  <to>
                    <xdr:col>2</xdr:col>
                    <xdr:colOff>76200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Check Box 30">
              <controlPr defaultSize="0" autoFill="0" autoLine="0" autoPict="0">
                <anchor moveWithCells="1">
                  <from>
                    <xdr:col>1</xdr:col>
                    <xdr:colOff>28575</xdr:colOff>
                    <xdr:row>27</xdr:row>
                    <xdr:rowOff>180975</xdr:rowOff>
                  </from>
                  <to>
                    <xdr:col>2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1" name="Check Box 31">
              <controlPr defaultSize="0" autoFill="0" autoLine="0" autoPict="0">
                <anchor moveWithCells="1">
                  <from>
                    <xdr:col>1</xdr:col>
                    <xdr:colOff>28575</xdr:colOff>
                    <xdr:row>26</xdr:row>
                    <xdr:rowOff>180975</xdr:rowOff>
                  </from>
                  <to>
                    <xdr:col>2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Check Box 32">
              <controlPr defaultSize="0" autoFill="0" autoLine="0" autoPict="0">
                <anchor moveWithCells="1">
                  <from>
                    <xdr:col>1</xdr:col>
                    <xdr:colOff>28575</xdr:colOff>
                    <xdr:row>28</xdr:row>
                    <xdr:rowOff>180975</xdr:rowOff>
                  </from>
                  <to>
                    <xdr:col>2</xdr:col>
                    <xdr:colOff>76200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Check Box 33">
              <controlPr defaultSize="0" autoFill="0" autoLine="0" autoPict="0">
                <anchor moveWithCells="1">
                  <from>
                    <xdr:col>1</xdr:col>
                    <xdr:colOff>28575</xdr:colOff>
                    <xdr:row>29</xdr:row>
                    <xdr:rowOff>180975</xdr:rowOff>
                  </from>
                  <to>
                    <xdr:col>2</xdr:col>
                    <xdr:colOff>76200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Check Box 34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2</xdr:col>
                    <xdr:colOff>76200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Check Box 35">
              <controlPr defaultSize="0" autoFill="0" autoLine="0" autoPict="0">
                <anchor moveWithCells="1">
                  <from>
                    <xdr:col>1</xdr:col>
                    <xdr:colOff>28575</xdr:colOff>
                    <xdr:row>31</xdr:row>
                    <xdr:rowOff>180975</xdr:rowOff>
                  </from>
                  <to>
                    <xdr:col>2</xdr:col>
                    <xdr:colOff>76200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Check Box 36">
              <controlPr defaultSize="0" autoFill="0" autoLine="0" autoPict="0">
                <anchor moveWithCells="1">
                  <from>
                    <xdr:col>1</xdr:col>
                    <xdr:colOff>28575</xdr:colOff>
                    <xdr:row>32</xdr:row>
                    <xdr:rowOff>180975</xdr:rowOff>
                  </from>
                  <to>
                    <xdr:col>2</xdr:col>
                    <xdr:colOff>76200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Check Box 37">
              <controlPr defaultSize="0" autoFill="0" autoLine="0" autoPict="0">
                <anchor moveWithCells="1">
                  <from>
                    <xdr:col>1</xdr:col>
                    <xdr:colOff>28575</xdr:colOff>
                    <xdr:row>33</xdr:row>
                    <xdr:rowOff>180975</xdr:rowOff>
                  </from>
                  <to>
                    <xdr:col>2</xdr:col>
                    <xdr:colOff>76200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8" name="Check Box 40">
              <controlPr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304800</xdr:rowOff>
                  </from>
                  <to>
                    <xdr:col>11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Check Box 41">
              <controlPr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11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0" name="Check Box 42">
              <controlPr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11</xdr:col>
                    <xdr:colOff>76200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1" name="Check Box 43">
              <controlPr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11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Check Box 44">
              <controlPr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11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Check Box 45">
              <controlPr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11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4" name="Check Box 46">
              <controlPr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11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5" name="Check Box 47">
              <controlPr defaultSize="0" autoFill="0" autoLine="0" autoPict="0">
                <anchor moveWithCells="1">
                  <from>
                    <xdr:col>10</xdr:col>
                    <xdr:colOff>28575</xdr:colOff>
                    <xdr:row>20</xdr:row>
                    <xdr:rowOff>180975</xdr:rowOff>
                  </from>
                  <to>
                    <xdr:col>11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6" name="Check Box 48">
              <controlPr defaultSize="0" autoFill="0" autoLine="0" autoPict="0">
                <anchor moveWithCells="1">
                  <from>
                    <xdr:col>10</xdr:col>
                    <xdr:colOff>28575</xdr:colOff>
                    <xdr:row>21</xdr:row>
                    <xdr:rowOff>180975</xdr:rowOff>
                  </from>
                  <to>
                    <xdr:col>11</xdr:col>
                    <xdr:colOff>76200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7" name="Check Box 49">
              <controlPr defaultSize="0" autoFill="0" autoLine="0" autoPict="0">
                <anchor moveWithCells="1">
                  <from>
                    <xdr:col>10</xdr:col>
                    <xdr:colOff>28575</xdr:colOff>
                    <xdr:row>22</xdr:row>
                    <xdr:rowOff>180975</xdr:rowOff>
                  </from>
                  <to>
                    <xdr:col>11</xdr:col>
                    <xdr:colOff>76200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8" name="Check Box 50">
              <controlPr defaultSize="0" autoFill="0" autoLine="0" autoPict="0">
                <anchor moveWithCells="1">
                  <from>
                    <xdr:col>10</xdr:col>
                    <xdr:colOff>28575</xdr:colOff>
                    <xdr:row>23</xdr:row>
                    <xdr:rowOff>180975</xdr:rowOff>
                  </from>
                  <to>
                    <xdr:col>11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9" name="Check Box 51">
              <controlPr defaultSize="0" autoFill="0" autoLine="0" autoPict="0">
                <anchor moveWithCells="1">
                  <from>
                    <xdr:col>10</xdr:col>
                    <xdr:colOff>28575</xdr:colOff>
                    <xdr:row>24</xdr:row>
                    <xdr:rowOff>180975</xdr:rowOff>
                  </from>
                  <to>
                    <xdr:col>11</xdr:col>
                    <xdr:colOff>76200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0" name="Check Box 52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180975</xdr:rowOff>
                  </from>
                  <to>
                    <xdr:col>11</xdr:col>
                    <xdr:colOff>76200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1" name="Check Box 53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180975</xdr:rowOff>
                  </from>
                  <to>
                    <xdr:col>11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2" name="Check Box 54">
              <controlPr defaultSize="0" autoFill="0" autoLine="0" autoPict="0">
                <anchor moveWithCells="1">
                  <from>
                    <xdr:col>10</xdr:col>
                    <xdr:colOff>28575</xdr:colOff>
                    <xdr:row>27</xdr:row>
                    <xdr:rowOff>180975</xdr:rowOff>
                  </from>
                  <to>
                    <xdr:col>11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3" name="Check Box 55">
              <controlPr defaultSize="0" autoFill="0" autoLine="0" autoPict="0">
                <anchor moveWithCells="1">
                  <from>
                    <xdr:col>10</xdr:col>
                    <xdr:colOff>28575</xdr:colOff>
                    <xdr:row>28</xdr:row>
                    <xdr:rowOff>180975</xdr:rowOff>
                  </from>
                  <to>
                    <xdr:col>11</xdr:col>
                    <xdr:colOff>76200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4" name="Check Box 56">
              <controlPr defaultSize="0" autoFill="0" autoLine="0" autoPict="0">
                <anchor moveWithCells="1">
                  <from>
                    <xdr:col>10</xdr:col>
                    <xdr:colOff>28575</xdr:colOff>
                    <xdr:row>29</xdr:row>
                    <xdr:rowOff>180975</xdr:rowOff>
                  </from>
                  <to>
                    <xdr:col>11</xdr:col>
                    <xdr:colOff>76200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Check Box 57">
              <controlPr defaultSize="0" autoFill="0" autoLine="0" autoPict="0">
                <anchor moveWithCells="1">
                  <from>
                    <xdr:col>10</xdr:col>
                    <xdr:colOff>28575</xdr:colOff>
                    <xdr:row>30</xdr:row>
                    <xdr:rowOff>180975</xdr:rowOff>
                  </from>
                  <to>
                    <xdr:col>11</xdr:col>
                    <xdr:colOff>76200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Check Box 58">
              <controlPr defaultSize="0" autoFill="0" autoLine="0" autoPict="0">
                <anchor moveWithCells="1">
                  <from>
                    <xdr:col>10</xdr:col>
                    <xdr:colOff>28575</xdr:colOff>
                    <xdr:row>31</xdr:row>
                    <xdr:rowOff>180975</xdr:rowOff>
                  </from>
                  <to>
                    <xdr:col>11</xdr:col>
                    <xdr:colOff>76200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Check Box 59">
              <controlPr defaultSize="0" autoFill="0" autoLine="0" autoPict="0">
                <anchor moveWithCells="1">
                  <from>
                    <xdr:col>10</xdr:col>
                    <xdr:colOff>28575</xdr:colOff>
                    <xdr:row>32</xdr:row>
                    <xdr:rowOff>180975</xdr:rowOff>
                  </from>
                  <to>
                    <xdr:col>11</xdr:col>
                    <xdr:colOff>76200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Check Box 60">
              <controlPr defaultSize="0" autoFill="0" autoLine="0" autoPict="0">
                <anchor moveWithCells="1">
                  <from>
                    <xdr:col>10</xdr:col>
                    <xdr:colOff>28575</xdr:colOff>
                    <xdr:row>33</xdr:row>
                    <xdr:rowOff>180975</xdr:rowOff>
                  </from>
                  <to>
                    <xdr:col>11</xdr:col>
                    <xdr:colOff>76200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Check Box 61">
              <controlPr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304800</xdr:rowOff>
                  </from>
                  <to>
                    <xdr:col>20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Check Box 62">
              <controlPr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20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Check Box 63">
              <controlPr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20</xdr:col>
                    <xdr:colOff>76200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Check Box 64">
              <controlPr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20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Check Box 65">
              <controlPr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20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Check Box 66">
              <controlPr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20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Check Box 67">
              <controlPr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20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Check Box 68">
              <controlPr defaultSize="0" autoFill="0" autoLine="0" autoPict="0">
                <anchor moveWithCells="1">
                  <from>
                    <xdr:col>19</xdr:col>
                    <xdr:colOff>28575</xdr:colOff>
                    <xdr:row>20</xdr:row>
                    <xdr:rowOff>180975</xdr:rowOff>
                  </from>
                  <to>
                    <xdr:col>20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Check Box 69">
              <controlPr defaultSize="0" autoFill="0" autoLine="0" autoPict="0">
                <anchor moveWithCells="1">
                  <from>
                    <xdr:col>19</xdr:col>
                    <xdr:colOff>28575</xdr:colOff>
                    <xdr:row>21</xdr:row>
                    <xdr:rowOff>180975</xdr:rowOff>
                  </from>
                  <to>
                    <xdr:col>20</xdr:col>
                    <xdr:colOff>76200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Check Box 70">
              <controlPr defaultSize="0" autoFill="0" autoLine="0" autoPict="0">
                <anchor moveWithCells="1">
                  <from>
                    <xdr:col>19</xdr:col>
                    <xdr:colOff>28575</xdr:colOff>
                    <xdr:row>22</xdr:row>
                    <xdr:rowOff>180975</xdr:rowOff>
                  </from>
                  <to>
                    <xdr:col>20</xdr:col>
                    <xdr:colOff>76200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Check Box 71">
              <controlPr defaultSize="0" autoFill="0" autoLine="0" autoPict="0">
                <anchor moveWithCells="1">
                  <from>
                    <xdr:col>19</xdr:col>
                    <xdr:colOff>28575</xdr:colOff>
                    <xdr:row>23</xdr:row>
                    <xdr:rowOff>180975</xdr:rowOff>
                  </from>
                  <to>
                    <xdr:col>20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Check Box 72">
              <controlPr defaultSize="0" autoFill="0" autoLine="0" autoPict="0">
                <anchor moveWithCells="1">
                  <from>
                    <xdr:col>19</xdr:col>
                    <xdr:colOff>28575</xdr:colOff>
                    <xdr:row>24</xdr:row>
                    <xdr:rowOff>180975</xdr:rowOff>
                  </from>
                  <to>
                    <xdr:col>20</xdr:col>
                    <xdr:colOff>76200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Check Box 73">
              <controlPr defaultSize="0" autoFill="0" autoLine="0" autoPict="0">
                <anchor moveWithCells="1">
                  <from>
                    <xdr:col>19</xdr:col>
                    <xdr:colOff>28575</xdr:colOff>
                    <xdr:row>25</xdr:row>
                    <xdr:rowOff>180975</xdr:rowOff>
                  </from>
                  <to>
                    <xdr:col>20</xdr:col>
                    <xdr:colOff>76200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Check Box 74">
              <controlPr defaultSize="0" autoFill="0" autoLine="0" autoPict="0">
                <anchor moveWithCells="1">
                  <from>
                    <xdr:col>19</xdr:col>
                    <xdr:colOff>28575</xdr:colOff>
                    <xdr:row>26</xdr:row>
                    <xdr:rowOff>180975</xdr:rowOff>
                  </from>
                  <to>
                    <xdr:col>20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Check Box 75">
              <controlPr defaultSize="0" autoFill="0" autoLine="0" autoPict="0">
                <anchor moveWithCells="1">
                  <from>
                    <xdr:col>19</xdr:col>
                    <xdr:colOff>28575</xdr:colOff>
                    <xdr:row>27</xdr:row>
                    <xdr:rowOff>180975</xdr:rowOff>
                  </from>
                  <to>
                    <xdr:col>20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Check Box 76">
              <controlPr defaultSize="0" autoFill="0" autoLine="0" autoPict="0">
                <anchor moveWithCells="1">
                  <from>
                    <xdr:col>19</xdr:col>
                    <xdr:colOff>28575</xdr:colOff>
                    <xdr:row>28</xdr:row>
                    <xdr:rowOff>180975</xdr:rowOff>
                  </from>
                  <to>
                    <xdr:col>20</xdr:col>
                    <xdr:colOff>76200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Check Box 77">
              <controlPr defaultSize="0" autoFill="0" autoLine="0" autoPict="0">
                <anchor moveWithCells="1">
                  <from>
                    <xdr:col>19</xdr:col>
                    <xdr:colOff>28575</xdr:colOff>
                    <xdr:row>29</xdr:row>
                    <xdr:rowOff>180975</xdr:rowOff>
                  </from>
                  <to>
                    <xdr:col>20</xdr:col>
                    <xdr:colOff>76200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Check Box 78">
              <controlPr defaultSize="0" autoFill="0" autoLine="0" autoPict="0">
                <anchor moveWithCells="1">
                  <from>
                    <xdr:col>19</xdr:col>
                    <xdr:colOff>28575</xdr:colOff>
                    <xdr:row>30</xdr:row>
                    <xdr:rowOff>180975</xdr:rowOff>
                  </from>
                  <to>
                    <xdr:col>20</xdr:col>
                    <xdr:colOff>76200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Check Box 79">
              <controlPr defaultSize="0" autoFill="0" autoLine="0" autoPict="0">
                <anchor moveWithCells="1">
                  <from>
                    <xdr:col>19</xdr:col>
                    <xdr:colOff>28575</xdr:colOff>
                    <xdr:row>31</xdr:row>
                    <xdr:rowOff>180975</xdr:rowOff>
                  </from>
                  <to>
                    <xdr:col>20</xdr:col>
                    <xdr:colOff>76200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Check Box 80">
              <controlPr defaultSize="0" autoFill="0" autoLine="0" autoPict="0">
                <anchor moveWithCells="1">
                  <from>
                    <xdr:col>19</xdr:col>
                    <xdr:colOff>28575</xdr:colOff>
                    <xdr:row>32</xdr:row>
                    <xdr:rowOff>180975</xdr:rowOff>
                  </from>
                  <to>
                    <xdr:col>20</xdr:col>
                    <xdr:colOff>76200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Check Box 81">
              <controlPr defaultSize="0" autoFill="0" autoLine="0" autoPict="0">
                <anchor moveWithCells="1">
                  <from>
                    <xdr:col>19</xdr:col>
                    <xdr:colOff>28575</xdr:colOff>
                    <xdr:row>33</xdr:row>
                    <xdr:rowOff>171450</xdr:rowOff>
                  </from>
                  <to>
                    <xdr:col>20</xdr:col>
                    <xdr:colOff>76200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0" name="Button 84">
              <controlPr defaultSize="0" print="0" autoFill="0" autoPict="0" macro="[0]!restore_gold">
                <anchor moveWithCells="1" sizeWithCells="1">
                  <from>
                    <xdr:col>35</xdr:col>
                    <xdr:colOff>57150</xdr:colOff>
                    <xdr:row>34</xdr:row>
                    <xdr:rowOff>9525</xdr:rowOff>
                  </from>
                  <to>
                    <xdr:col>36</xdr:col>
                    <xdr:colOff>238125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1" name="Button 88">
              <controlPr defaultSize="0" print="0" autoFill="0" autoPict="0" macro="[0]!rebulid_baseattr">
                <anchor moveWithCells="1" sizeWithCells="1">
                  <from>
                    <xdr:col>37</xdr:col>
                    <xdr:colOff>123825</xdr:colOff>
                    <xdr:row>2</xdr:row>
                    <xdr:rowOff>76200</xdr:rowOff>
                  </from>
                  <to>
                    <xdr:col>42</xdr:col>
                    <xdr:colOff>47625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>
          <x14:formula1>
            <xm:f>道具!$A:$A</xm:f>
          </x14:formula1>
          <xm:sqref>AD25:AK25 AD23:AK23</xm:sqref>
        </x14:dataValidation>
        <x14:dataValidation type="list" allowBlank="1" showInputMessage="1" showErrorMessage="1">
          <x14:formula1>
            <xm:f>武器!$A:$A</xm:f>
          </x14:formula1>
          <xm:sqref>AD16</xm:sqref>
        </x14:dataValidation>
        <x14:dataValidation type="list" allowBlank="1" showInputMessage="1" showErrorMessage="1">
          <x14:formula1>
            <xm:f>注释!$A:$A</xm:f>
          </x14:formula1>
          <xm:sqref>AD27:AK27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0"/>
  <sheetViews>
    <sheetView workbookViewId="0">
      <selection activeCell="B36" sqref="B36"/>
    </sheetView>
  </sheetViews>
  <sheetFormatPr defaultRowHeight="12" x14ac:dyDescent="0.15"/>
  <cols>
    <col min="1" max="1" width="14.625" style="59" customWidth="1"/>
    <col min="2" max="2" width="6.75" style="59" bestFit="1" customWidth="1"/>
    <col min="3" max="4" width="3.875" style="59" bestFit="1" customWidth="1"/>
    <col min="5" max="12" width="8.625" style="59" customWidth="1"/>
    <col min="13" max="13" width="9.375" style="59" customWidth="1"/>
    <col min="14" max="14" width="5.25" style="59" bestFit="1" customWidth="1"/>
    <col min="15" max="15" width="9.375" style="59" customWidth="1"/>
    <col min="16" max="16384" width="9" style="59"/>
  </cols>
  <sheetData>
    <row r="1" spans="1:27" s="58" customFormat="1" x14ac:dyDescent="0.15">
      <c r="A1" s="14"/>
      <c r="B1" s="14" t="s">
        <v>12</v>
      </c>
      <c r="C1" s="94" t="s">
        <v>13</v>
      </c>
      <c r="D1" s="94"/>
      <c r="E1" s="14" t="s">
        <v>51</v>
      </c>
      <c r="F1" s="14" t="s">
        <v>49</v>
      </c>
      <c r="G1" s="14" t="s">
        <v>50</v>
      </c>
      <c r="H1" s="14" t="s">
        <v>52</v>
      </c>
      <c r="I1" s="14" t="s">
        <v>53</v>
      </c>
      <c r="J1" s="14" t="s">
        <v>54</v>
      </c>
      <c r="K1" s="14" t="s">
        <v>55</v>
      </c>
      <c r="L1" s="14" t="s">
        <v>56</v>
      </c>
      <c r="M1" s="58" t="s">
        <v>59</v>
      </c>
      <c r="N1" s="58" t="s">
        <v>142</v>
      </c>
    </row>
    <row r="2" spans="1:27" x14ac:dyDescent="0.15">
      <c r="A2" s="11" t="s">
        <v>47</v>
      </c>
      <c r="B2" s="11">
        <f>MIN(edu*4,edu*2+str*2,edu*2+dex*2,edu*2+app*2,edu*2+pow*2)</f>
        <v>190</v>
      </c>
      <c r="C2" s="11">
        <v>0</v>
      </c>
      <c r="D2" s="11">
        <v>99</v>
      </c>
      <c r="E2" s="11" t="s">
        <v>44</v>
      </c>
      <c r="F2" s="11" t="s">
        <v>44</v>
      </c>
      <c r="G2" s="11" t="s">
        <v>44</v>
      </c>
      <c r="H2" s="11" t="s">
        <v>44</v>
      </c>
      <c r="I2" s="11" t="s">
        <v>44</v>
      </c>
      <c r="J2" s="11" t="s">
        <v>44</v>
      </c>
      <c r="K2" s="11" t="s">
        <v>44</v>
      </c>
      <c r="L2" s="11" t="s">
        <v>44</v>
      </c>
    </row>
    <row r="3" spans="1:27" x14ac:dyDescent="0.15">
      <c r="A3" s="11" t="s">
        <v>181</v>
      </c>
      <c r="B3" s="12">
        <f>MAX(edu*2+dex*2)</f>
        <v>220</v>
      </c>
      <c r="C3" s="12">
        <v>9</v>
      </c>
      <c r="D3" s="12">
        <v>30</v>
      </c>
      <c r="E3" s="59" t="s">
        <v>214</v>
      </c>
      <c r="F3" s="59" t="s">
        <v>207</v>
      </c>
      <c r="G3" s="59" t="s">
        <v>208</v>
      </c>
      <c r="H3" s="59" t="s">
        <v>211</v>
      </c>
      <c r="I3" s="59" t="s">
        <v>209</v>
      </c>
      <c r="J3" s="59" t="s">
        <v>212</v>
      </c>
      <c r="K3" s="59" t="s">
        <v>213</v>
      </c>
      <c r="L3" s="59" t="s">
        <v>141</v>
      </c>
      <c r="N3" s="60" t="s">
        <v>215</v>
      </c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</row>
    <row r="4" spans="1:27" x14ac:dyDescent="0.15">
      <c r="A4" s="11" t="s">
        <v>196</v>
      </c>
      <c r="B4" s="12">
        <f>MAX(edu*2+app*2)</f>
        <v>230</v>
      </c>
      <c r="C4" s="12">
        <v>20</v>
      </c>
      <c r="D4" s="12">
        <v>90</v>
      </c>
      <c r="E4" s="12" t="s">
        <v>45</v>
      </c>
      <c r="F4" s="12" t="s">
        <v>28</v>
      </c>
      <c r="G4" s="12" t="s">
        <v>207</v>
      </c>
      <c r="H4" s="12" t="s">
        <v>58</v>
      </c>
      <c r="I4" s="12" t="s">
        <v>58</v>
      </c>
      <c r="J4" s="12" t="s">
        <v>16</v>
      </c>
      <c r="K4" s="12" t="s">
        <v>44</v>
      </c>
      <c r="L4" s="12" t="s">
        <v>44</v>
      </c>
      <c r="M4" s="15">
        <v>1</v>
      </c>
      <c r="N4" s="60" t="s">
        <v>147</v>
      </c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</row>
    <row r="5" spans="1:27" x14ac:dyDescent="0.15">
      <c r="A5" s="11" t="s">
        <v>183</v>
      </c>
      <c r="B5" s="12">
        <f>MAX(edu*2+dex*2)</f>
        <v>220</v>
      </c>
      <c r="C5" s="12">
        <v>10</v>
      </c>
      <c r="D5" s="12">
        <v>40</v>
      </c>
      <c r="E5" s="12" t="s">
        <v>11</v>
      </c>
      <c r="F5" s="59" t="s">
        <v>217</v>
      </c>
      <c r="G5" s="12" t="s">
        <v>43</v>
      </c>
      <c r="H5" s="12" t="s">
        <v>43</v>
      </c>
      <c r="I5" s="12" t="s">
        <v>24</v>
      </c>
      <c r="J5" s="12" t="s">
        <v>18</v>
      </c>
      <c r="K5" s="12" t="s">
        <v>44</v>
      </c>
      <c r="L5" s="12" t="s">
        <v>44</v>
      </c>
      <c r="M5" s="60"/>
      <c r="N5" s="60" t="s">
        <v>222</v>
      </c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</row>
    <row r="6" spans="1:27" x14ac:dyDescent="0.15">
      <c r="A6" s="11" t="s">
        <v>188</v>
      </c>
      <c r="B6" s="12">
        <f>MAX(edu*2+str*2,edu*2+dex*2)</f>
        <v>220</v>
      </c>
      <c r="C6" s="12">
        <v>9</v>
      </c>
      <c r="D6" s="12">
        <v>30</v>
      </c>
      <c r="E6" s="59" t="s">
        <v>237</v>
      </c>
      <c r="F6" s="12" t="s">
        <v>235</v>
      </c>
      <c r="G6" s="12" t="s">
        <v>236</v>
      </c>
      <c r="H6" s="12" t="s">
        <v>38</v>
      </c>
      <c r="I6" s="12" t="s">
        <v>26</v>
      </c>
      <c r="J6" s="12" t="s">
        <v>24</v>
      </c>
      <c r="K6" s="12" t="s">
        <v>33</v>
      </c>
      <c r="L6" s="12" t="s">
        <v>44</v>
      </c>
      <c r="M6" s="60"/>
      <c r="N6" s="60" t="s">
        <v>238</v>
      </c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</row>
    <row r="7" spans="1:27" x14ac:dyDescent="0.15">
      <c r="A7" s="11" t="s">
        <v>199</v>
      </c>
      <c r="B7" s="11">
        <f>edu*2+MAX(app,int)*2</f>
        <v>240</v>
      </c>
      <c r="C7" s="11">
        <v>50</v>
      </c>
      <c r="D7" s="11">
        <v>99</v>
      </c>
      <c r="E7" s="11" t="s">
        <v>148</v>
      </c>
      <c r="F7" s="11" t="s">
        <v>149</v>
      </c>
      <c r="G7" s="11" t="s">
        <v>157</v>
      </c>
      <c r="H7" s="11" t="s">
        <v>175</v>
      </c>
      <c r="I7" s="11" t="s">
        <v>150</v>
      </c>
      <c r="J7" s="11" t="s">
        <v>151</v>
      </c>
      <c r="K7" s="11" t="s">
        <v>152</v>
      </c>
      <c r="L7" s="11" t="s">
        <v>141</v>
      </c>
      <c r="M7" s="60"/>
      <c r="N7" s="60" t="s">
        <v>144</v>
      </c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</row>
    <row r="8" spans="1:27" x14ac:dyDescent="0.15">
      <c r="A8" s="60" t="s">
        <v>187</v>
      </c>
      <c r="B8" s="12">
        <f>MAX(edu*4)</f>
        <v>260</v>
      </c>
      <c r="C8" s="12">
        <v>9</v>
      </c>
      <c r="D8" s="12">
        <v>30</v>
      </c>
      <c r="E8" s="60" t="s">
        <v>232</v>
      </c>
      <c r="F8" s="60" t="s">
        <v>228</v>
      </c>
      <c r="G8" s="61" t="str">
        <f>ownlan</f>
        <v>英语</v>
      </c>
      <c r="H8" s="59" t="s">
        <v>175</v>
      </c>
      <c r="I8" s="60" t="s">
        <v>233</v>
      </c>
      <c r="J8" s="60" t="s">
        <v>168</v>
      </c>
      <c r="K8" s="60" t="s">
        <v>234</v>
      </c>
      <c r="L8" s="60" t="s">
        <v>141</v>
      </c>
      <c r="M8" s="60">
        <v>1</v>
      </c>
      <c r="N8" s="60" t="s">
        <v>225</v>
      </c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</row>
    <row r="9" spans="1:27" x14ac:dyDescent="0.15">
      <c r="A9" s="11" t="s">
        <v>202</v>
      </c>
      <c r="B9" s="11">
        <f>edu*2+app*2</f>
        <v>230</v>
      </c>
      <c r="C9" s="11">
        <v>20</v>
      </c>
      <c r="D9" s="11">
        <v>70</v>
      </c>
      <c r="E9" s="11" t="s">
        <v>172</v>
      </c>
      <c r="F9" s="11" t="s">
        <v>173</v>
      </c>
      <c r="G9" s="11" t="s">
        <v>174</v>
      </c>
      <c r="H9" s="11" t="s">
        <v>175</v>
      </c>
      <c r="I9" s="11" t="s">
        <v>168</v>
      </c>
      <c r="J9" s="11" t="s">
        <v>169</v>
      </c>
      <c r="K9" s="11" t="s">
        <v>140</v>
      </c>
      <c r="L9" s="11" t="s">
        <v>176</v>
      </c>
      <c r="M9" s="60">
        <v>1</v>
      </c>
      <c r="N9" s="60" t="s">
        <v>144</v>
      </c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</row>
    <row r="10" spans="1:27" x14ac:dyDescent="0.15">
      <c r="A10" s="60" t="s">
        <v>192</v>
      </c>
      <c r="B10" s="12">
        <f>MAX(edu*4)</f>
        <v>260</v>
      </c>
      <c r="C10" s="12">
        <v>20</v>
      </c>
      <c r="D10" s="12">
        <v>70</v>
      </c>
      <c r="E10" s="12" t="s">
        <v>22</v>
      </c>
      <c r="F10" s="12" t="s">
        <v>37</v>
      </c>
      <c r="G10" s="13" t="str">
        <f>ownlan</f>
        <v>英语</v>
      </c>
      <c r="H10" s="12" t="s">
        <v>16</v>
      </c>
      <c r="I10" s="12" t="s">
        <v>44</v>
      </c>
      <c r="J10" s="12" t="s">
        <v>44</v>
      </c>
      <c r="K10" s="12" t="s">
        <v>44</v>
      </c>
      <c r="L10" s="12" t="s">
        <v>44</v>
      </c>
      <c r="M10" s="60"/>
      <c r="N10" s="60" t="s">
        <v>171</v>
      </c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</row>
    <row r="11" spans="1:27" x14ac:dyDescent="0.15">
      <c r="A11" s="11" t="s">
        <v>191</v>
      </c>
      <c r="B11" s="12">
        <f>MAX(edu*2+str*2,edu*2+dex*2)</f>
        <v>220</v>
      </c>
      <c r="C11" s="12">
        <v>9</v>
      </c>
      <c r="D11" s="12">
        <v>30</v>
      </c>
      <c r="E11" s="12" t="s">
        <v>34</v>
      </c>
      <c r="F11" s="12" t="s">
        <v>239</v>
      </c>
      <c r="G11" s="12" t="s">
        <v>26</v>
      </c>
      <c r="H11" s="12" t="s">
        <v>58</v>
      </c>
      <c r="I11" s="12" t="s">
        <v>14</v>
      </c>
      <c r="J11" s="12" t="s">
        <v>16</v>
      </c>
      <c r="K11" s="12" t="s">
        <v>18</v>
      </c>
      <c r="L11" s="12" t="s">
        <v>151</v>
      </c>
      <c r="M11" s="15">
        <v>1</v>
      </c>
      <c r="N11" s="60" t="s">
        <v>240</v>
      </c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</row>
    <row r="12" spans="1:27" x14ac:dyDescent="0.15">
      <c r="A12" s="60" t="s">
        <v>194</v>
      </c>
      <c r="B12" s="12">
        <f>MAX(edu*4)</f>
        <v>260</v>
      </c>
      <c r="C12" s="12">
        <v>9</v>
      </c>
      <c r="D12" s="12">
        <v>50</v>
      </c>
      <c r="E12" s="12" t="s">
        <v>60</v>
      </c>
      <c r="F12" s="12" t="s">
        <v>60</v>
      </c>
      <c r="G12" s="12" t="s">
        <v>60</v>
      </c>
      <c r="H12" s="12" t="s">
        <v>244</v>
      </c>
      <c r="I12" s="12" t="s">
        <v>37</v>
      </c>
      <c r="J12" s="13" t="str">
        <f>ownlan</f>
        <v>英语</v>
      </c>
      <c r="K12" s="12" t="s">
        <v>58</v>
      </c>
      <c r="L12" s="12" t="s">
        <v>18</v>
      </c>
      <c r="M12" s="15">
        <v>1</v>
      </c>
      <c r="N12" s="60" t="s">
        <v>243</v>
      </c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</row>
    <row r="13" spans="1:27" x14ac:dyDescent="0.15">
      <c r="A13" s="11" t="s">
        <v>189</v>
      </c>
      <c r="B13" s="12">
        <f>MAX(edu*4)</f>
        <v>260</v>
      </c>
      <c r="C13" s="12">
        <v>30</v>
      </c>
      <c r="D13" s="12">
        <v>80</v>
      </c>
      <c r="E13" s="12" t="s">
        <v>11</v>
      </c>
      <c r="F13" s="12" t="s">
        <v>14</v>
      </c>
      <c r="G13" s="12" t="s">
        <v>22</v>
      </c>
      <c r="H13" s="12" t="s">
        <v>58</v>
      </c>
      <c r="I13" s="12" t="s">
        <v>58</v>
      </c>
      <c r="J13" s="12" t="s">
        <v>16</v>
      </c>
      <c r="K13" s="12" t="s">
        <v>44</v>
      </c>
      <c r="L13" s="12" t="s">
        <v>44</v>
      </c>
      <c r="M13" s="15">
        <v>1</v>
      </c>
      <c r="N13" s="60" t="s">
        <v>145</v>
      </c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</row>
    <row r="14" spans="1:27" x14ac:dyDescent="0.15">
      <c r="A14" s="60" t="s">
        <v>182</v>
      </c>
      <c r="B14" s="12">
        <f>MAX(edu*4)</f>
        <v>260</v>
      </c>
      <c r="C14" s="12">
        <v>9</v>
      </c>
      <c r="D14" s="12">
        <v>60</v>
      </c>
      <c r="E14" s="12" t="s">
        <v>11</v>
      </c>
      <c r="F14" s="12" t="s">
        <v>19</v>
      </c>
      <c r="G14" s="12" t="s">
        <v>22</v>
      </c>
      <c r="H14" s="12" t="s">
        <v>15</v>
      </c>
      <c r="I14" s="12" t="s">
        <v>216</v>
      </c>
      <c r="J14" s="12" t="s">
        <v>58</v>
      </c>
      <c r="K14" s="12" t="s">
        <v>16</v>
      </c>
      <c r="L14" s="12" t="s">
        <v>44</v>
      </c>
      <c r="M14" s="15">
        <v>1</v>
      </c>
      <c r="N14" s="60" t="s">
        <v>221</v>
      </c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</row>
    <row r="15" spans="1:27" x14ac:dyDescent="0.15">
      <c r="A15" s="60" t="s">
        <v>198</v>
      </c>
      <c r="B15" s="60">
        <f>edu*2+MAX(app,int)*2</f>
        <v>240</v>
      </c>
      <c r="C15" s="60">
        <v>10</v>
      </c>
      <c r="D15" s="60">
        <v>80</v>
      </c>
      <c r="E15" s="60" t="s">
        <v>135</v>
      </c>
      <c r="F15" s="60" t="s">
        <v>136</v>
      </c>
      <c r="G15" s="60" t="s">
        <v>137</v>
      </c>
      <c r="H15" s="60" t="s">
        <v>138</v>
      </c>
      <c r="I15" s="60" t="s">
        <v>159</v>
      </c>
      <c r="J15" s="60" t="s">
        <v>139</v>
      </c>
      <c r="K15" s="60" t="s">
        <v>140</v>
      </c>
      <c r="L15" s="60" t="s">
        <v>141</v>
      </c>
      <c r="M15" s="60"/>
      <c r="N15" s="59" t="s">
        <v>143</v>
      </c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</row>
    <row r="16" spans="1:27" x14ac:dyDescent="0.15">
      <c r="A16" s="60" t="s">
        <v>195</v>
      </c>
      <c r="B16" s="12">
        <f>MAX(edu*4)</f>
        <v>260</v>
      </c>
      <c r="C16" s="12">
        <v>9</v>
      </c>
      <c r="D16" s="12">
        <v>40</v>
      </c>
      <c r="E16" s="12" t="s">
        <v>39</v>
      </c>
      <c r="F16" s="12" t="s">
        <v>43</v>
      </c>
      <c r="G16" s="12" t="s">
        <v>26</v>
      </c>
      <c r="H16" s="12" t="s">
        <v>15</v>
      </c>
      <c r="I16" s="12" t="s">
        <v>37</v>
      </c>
      <c r="J16" s="12" t="s">
        <v>16</v>
      </c>
      <c r="K16" s="12" t="s">
        <v>18</v>
      </c>
      <c r="L16" s="12" t="s">
        <v>44</v>
      </c>
      <c r="M16" s="60"/>
      <c r="N16" s="60" t="s">
        <v>245</v>
      </c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</row>
    <row r="17" spans="1:27" x14ac:dyDescent="0.15">
      <c r="A17" s="11" t="s">
        <v>197</v>
      </c>
      <c r="B17" s="12">
        <f>MAX(edu*2+str*2,edu*2+dex*2)</f>
        <v>220</v>
      </c>
      <c r="C17" s="12">
        <v>9</v>
      </c>
      <c r="D17" s="12">
        <v>30</v>
      </c>
      <c r="E17" s="12" t="s">
        <v>40</v>
      </c>
      <c r="F17" s="12" t="s">
        <v>31</v>
      </c>
      <c r="G17" s="12" t="s">
        <v>38</v>
      </c>
      <c r="H17" s="12" t="s">
        <v>46</v>
      </c>
      <c r="I17" s="12" t="s">
        <v>17</v>
      </c>
      <c r="J17" s="12" t="s">
        <v>204</v>
      </c>
      <c r="K17" s="12" t="s">
        <v>48</v>
      </c>
      <c r="L17" s="12" t="s">
        <v>205</v>
      </c>
      <c r="M17" s="60"/>
      <c r="N17" s="60" t="s">
        <v>246</v>
      </c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</row>
    <row r="18" spans="1:27" x14ac:dyDescent="0.15">
      <c r="A18" s="60" t="s">
        <v>186</v>
      </c>
      <c r="B18" s="12">
        <f>MAX(edu*2+str*2,edu*2+dex*2)</f>
        <v>220</v>
      </c>
      <c r="C18" s="12">
        <v>20</v>
      </c>
      <c r="D18" s="12">
        <v>45</v>
      </c>
      <c r="E18" s="12" t="s">
        <v>58</v>
      </c>
      <c r="F18" s="12" t="s">
        <v>34</v>
      </c>
      <c r="G18" s="12" t="s">
        <v>46</v>
      </c>
      <c r="H18" s="12" t="s">
        <v>14</v>
      </c>
      <c r="I18" s="12" t="s">
        <v>22</v>
      </c>
      <c r="J18" s="12" t="s">
        <v>16</v>
      </c>
      <c r="K18" s="12" t="s">
        <v>17</v>
      </c>
      <c r="L18" s="12" t="s">
        <v>30</v>
      </c>
      <c r="M18" s="15">
        <v>1</v>
      </c>
      <c r="N18" s="60" t="s">
        <v>147</v>
      </c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</row>
    <row r="19" spans="1:27" x14ac:dyDescent="0.15">
      <c r="A19" s="11" t="s">
        <v>201</v>
      </c>
      <c r="B19" s="11">
        <f>edu*2+int*2</f>
        <v>240</v>
      </c>
      <c r="C19" s="11">
        <v>10</v>
      </c>
      <c r="D19" s="11">
        <v>40</v>
      </c>
      <c r="E19" s="11" t="s">
        <v>163</v>
      </c>
      <c r="F19" s="11" t="s">
        <v>164</v>
      </c>
      <c r="G19" s="11" t="s">
        <v>165</v>
      </c>
      <c r="H19" s="11" t="s">
        <v>166</v>
      </c>
      <c r="I19" s="11" t="s">
        <v>167</v>
      </c>
      <c r="J19" s="11" t="s">
        <v>168</v>
      </c>
      <c r="K19" s="11" t="s">
        <v>169</v>
      </c>
      <c r="L19" s="11" t="s">
        <v>170</v>
      </c>
      <c r="M19" s="60"/>
      <c r="N19" s="60" t="s">
        <v>147</v>
      </c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</row>
    <row r="20" spans="1:27" x14ac:dyDescent="0.15">
      <c r="A20" s="60" t="s">
        <v>231</v>
      </c>
      <c r="B20" s="12">
        <f>MAX(edu*2+app*2,edu*2+dex*2,edu*2+str*2)</f>
        <v>230</v>
      </c>
      <c r="C20" s="12">
        <v>55</v>
      </c>
      <c r="D20" s="12">
        <v>80</v>
      </c>
      <c r="E20" s="12" t="s">
        <v>40</v>
      </c>
      <c r="F20" s="12" t="s">
        <v>35</v>
      </c>
      <c r="G20" s="12" t="s">
        <v>19</v>
      </c>
      <c r="H20" s="12" t="s">
        <v>29</v>
      </c>
      <c r="I20" s="12" t="s">
        <v>23</v>
      </c>
      <c r="J20" s="12" t="s">
        <v>25</v>
      </c>
      <c r="K20" s="12" t="s">
        <v>37</v>
      </c>
      <c r="L20" s="12" t="s">
        <v>57</v>
      </c>
      <c r="M20" s="15"/>
      <c r="N20" s="60" t="s">
        <v>206</v>
      </c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</row>
    <row r="21" spans="1:27" x14ac:dyDescent="0.15">
      <c r="A21" s="60" t="s">
        <v>226</v>
      </c>
      <c r="B21" s="12">
        <f>MAX(edu*2+str*2,edu*2+dex*2)</f>
        <v>220</v>
      </c>
      <c r="C21" s="12">
        <v>40</v>
      </c>
      <c r="D21" s="12">
        <v>80</v>
      </c>
      <c r="E21" s="12" t="s">
        <v>227</v>
      </c>
      <c r="F21" s="12" t="s">
        <v>230</v>
      </c>
      <c r="G21" s="12" t="s">
        <v>210</v>
      </c>
      <c r="H21" s="12" t="s">
        <v>228</v>
      </c>
      <c r="I21" s="12" t="s">
        <v>151</v>
      </c>
      <c r="J21" s="59" t="s">
        <v>140</v>
      </c>
      <c r="K21" s="12" t="s">
        <v>169</v>
      </c>
      <c r="L21" s="12" t="s">
        <v>229</v>
      </c>
      <c r="M21" s="15">
        <v>1</v>
      </c>
      <c r="N21" s="60" t="s">
        <v>145</v>
      </c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</row>
    <row r="22" spans="1:27" x14ac:dyDescent="0.15">
      <c r="A22" s="11" t="s">
        <v>177</v>
      </c>
      <c r="B22" s="12">
        <f>MAX(edu*4)</f>
        <v>260</v>
      </c>
      <c r="C22" s="12">
        <v>30</v>
      </c>
      <c r="D22" s="12">
        <v>70</v>
      </c>
      <c r="E22" s="12" t="s">
        <v>21</v>
      </c>
      <c r="F22" s="12" t="s">
        <v>43</v>
      </c>
      <c r="G22" s="12" t="s">
        <v>19</v>
      </c>
      <c r="H22" s="12" t="s">
        <v>22</v>
      </c>
      <c r="I22" s="12" t="s">
        <v>37</v>
      </c>
      <c r="J22" s="12" t="s">
        <v>58</v>
      </c>
      <c r="K22" s="12" t="s">
        <v>18</v>
      </c>
      <c r="L22" s="12" t="s">
        <v>44</v>
      </c>
      <c r="M22" s="15">
        <v>1</v>
      </c>
      <c r="N22" s="60" t="s">
        <v>206</v>
      </c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</row>
    <row r="23" spans="1:27" x14ac:dyDescent="0.15">
      <c r="A23" s="11" t="s">
        <v>193</v>
      </c>
      <c r="B23" s="12">
        <f>MAX(edu*4)</f>
        <v>260</v>
      </c>
      <c r="C23" s="12">
        <v>20</v>
      </c>
      <c r="D23" s="12">
        <v>70</v>
      </c>
      <c r="E23" s="12" t="s">
        <v>22</v>
      </c>
      <c r="F23" s="12" t="s">
        <v>37</v>
      </c>
      <c r="G23" s="13" t="str">
        <f>ownlan</f>
        <v>英语</v>
      </c>
      <c r="H23" s="12" t="s">
        <v>16</v>
      </c>
      <c r="I23" s="12" t="s">
        <v>44</v>
      </c>
      <c r="J23" s="12" t="s">
        <v>44</v>
      </c>
      <c r="K23" s="12" t="s">
        <v>44</v>
      </c>
      <c r="L23" s="12" t="s">
        <v>44</v>
      </c>
      <c r="M23" s="60"/>
      <c r="N23" s="60" t="s">
        <v>242</v>
      </c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</row>
    <row r="24" spans="1:27" x14ac:dyDescent="0.15">
      <c r="A24" s="60" t="s">
        <v>178</v>
      </c>
      <c r="B24" s="12">
        <f>MAX(edu*2+app*2)</f>
        <v>230</v>
      </c>
      <c r="C24" s="12">
        <v>50</v>
      </c>
      <c r="D24" s="12">
        <v>99</v>
      </c>
      <c r="E24" s="12" t="s">
        <v>43</v>
      </c>
      <c r="F24" s="12" t="s">
        <v>46</v>
      </c>
      <c r="G24" s="12" t="s">
        <v>37</v>
      </c>
      <c r="H24" s="12" t="s">
        <v>36</v>
      </c>
      <c r="I24" s="12" t="s">
        <v>58</v>
      </c>
      <c r="J24" s="12" t="s">
        <v>44</v>
      </c>
      <c r="K24" s="12" t="s">
        <v>44</v>
      </c>
      <c r="L24" s="12" t="s">
        <v>44</v>
      </c>
      <c r="M24" s="15">
        <v>1</v>
      </c>
      <c r="N24" s="11" t="s">
        <v>224</v>
      </c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</row>
    <row r="25" spans="1:27" x14ac:dyDescent="0.15">
      <c r="A25" s="11" t="s">
        <v>190</v>
      </c>
      <c r="B25" s="12">
        <f>MAX(edu*4)</f>
        <v>260</v>
      </c>
      <c r="C25" s="12">
        <v>30</v>
      </c>
      <c r="D25" s="12">
        <v>80</v>
      </c>
      <c r="E25" s="12" t="s">
        <v>26</v>
      </c>
      <c r="F25" s="12" t="s">
        <v>27</v>
      </c>
      <c r="G25" s="12" t="s">
        <v>32</v>
      </c>
      <c r="H25" s="12" t="s">
        <v>16</v>
      </c>
      <c r="I25" s="12" t="s">
        <v>20</v>
      </c>
      <c r="J25" s="12" t="s">
        <v>61</v>
      </c>
      <c r="K25" s="12" t="s">
        <v>44</v>
      </c>
      <c r="L25" s="12" t="s">
        <v>44</v>
      </c>
      <c r="M25" s="60"/>
      <c r="N25" s="60" t="s">
        <v>241</v>
      </c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</row>
    <row r="26" spans="1:27" x14ac:dyDescent="0.15">
      <c r="A26" s="11" t="s">
        <v>185</v>
      </c>
      <c r="B26" s="12">
        <f>MAX(edu*2+app*2)</f>
        <v>230</v>
      </c>
      <c r="C26" s="12">
        <v>9</v>
      </c>
      <c r="D26" s="12">
        <v>70</v>
      </c>
      <c r="E26" s="12" t="s">
        <v>43</v>
      </c>
      <c r="F26" s="12" t="s">
        <v>28</v>
      </c>
      <c r="G26" s="12" t="s">
        <v>58</v>
      </c>
      <c r="H26" s="12" t="s">
        <v>58</v>
      </c>
      <c r="I26" s="12" t="s">
        <v>15</v>
      </c>
      <c r="J26" s="12" t="s">
        <v>16</v>
      </c>
      <c r="K26" s="12" t="s">
        <v>44</v>
      </c>
      <c r="L26" s="12" t="s">
        <v>44</v>
      </c>
      <c r="M26" s="15">
        <v>1</v>
      </c>
      <c r="N26" s="60" t="s">
        <v>225</v>
      </c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</row>
    <row r="27" spans="1:27" x14ac:dyDescent="0.15">
      <c r="A27" s="11" t="s">
        <v>179</v>
      </c>
      <c r="B27" s="12">
        <f>MAX(edu*2+dex*2,edu*2+pow*2)</f>
        <v>250</v>
      </c>
      <c r="C27" s="12">
        <v>9</v>
      </c>
      <c r="D27" s="12">
        <v>50</v>
      </c>
      <c r="E27" s="12" t="s">
        <v>43</v>
      </c>
      <c r="F27" s="12" t="s">
        <v>41</v>
      </c>
      <c r="G27" s="12" t="s">
        <v>58</v>
      </c>
      <c r="H27" s="12" t="s">
        <v>37</v>
      </c>
      <c r="I27" s="12" t="s">
        <v>16</v>
      </c>
      <c r="J27" s="12" t="s">
        <v>18</v>
      </c>
      <c r="K27" s="12" t="s">
        <v>44</v>
      </c>
      <c r="L27" s="12" t="s">
        <v>44</v>
      </c>
      <c r="M27" s="15">
        <v>1</v>
      </c>
      <c r="N27" s="60" t="s">
        <v>147</v>
      </c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</row>
    <row r="28" spans="1:27" x14ac:dyDescent="0.15">
      <c r="A28" s="60" t="s">
        <v>200</v>
      </c>
      <c r="B28" s="60">
        <f>edu*2+int*2</f>
        <v>240</v>
      </c>
      <c r="C28" s="60">
        <v>20</v>
      </c>
      <c r="D28" s="60">
        <v>50</v>
      </c>
      <c r="E28" s="60" t="s">
        <v>153</v>
      </c>
      <c r="F28" s="60" t="s">
        <v>154</v>
      </c>
      <c r="G28" s="60" t="s">
        <v>155</v>
      </c>
      <c r="H28" s="60" t="s">
        <v>156</v>
      </c>
      <c r="I28" s="60" t="s">
        <v>158</v>
      </c>
      <c r="J28" s="60" t="s">
        <v>160</v>
      </c>
      <c r="K28" s="60" t="s">
        <v>161</v>
      </c>
      <c r="L28" s="60" t="s">
        <v>162</v>
      </c>
      <c r="M28" s="60"/>
      <c r="N28" s="60" t="s">
        <v>146</v>
      </c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</row>
    <row r="29" spans="1:27" x14ac:dyDescent="0.15">
      <c r="A29" s="11" t="s">
        <v>184</v>
      </c>
      <c r="B29" s="11">
        <f>MAX(edu*2+app*2,edu*2+dex*2,edu*2+str*2)</f>
        <v>230</v>
      </c>
      <c r="C29" s="11">
        <v>0</v>
      </c>
      <c r="D29" s="11">
        <v>50</v>
      </c>
      <c r="E29" s="11" t="s">
        <v>217</v>
      </c>
      <c r="F29" s="59" t="s">
        <v>172</v>
      </c>
      <c r="G29" s="11" t="s">
        <v>218</v>
      </c>
      <c r="H29" s="11" t="s">
        <v>140</v>
      </c>
      <c r="I29" s="11" t="s">
        <v>219</v>
      </c>
      <c r="J29" s="11" t="s">
        <v>169</v>
      </c>
      <c r="K29" s="11" t="s">
        <v>220</v>
      </c>
      <c r="L29" s="11" t="s">
        <v>141</v>
      </c>
      <c r="M29" s="60"/>
      <c r="N29" s="60" t="s">
        <v>223</v>
      </c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</row>
    <row r="30" spans="1:27" x14ac:dyDescent="0.15">
      <c r="A30" s="11" t="s">
        <v>180</v>
      </c>
      <c r="B30" s="12">
        <f>MAX(edu*4)</f>
        <v>260</v>
      </c>
      <c r="C30" s="12">
        <v>9</v>
      </c>
      <c r="D30" s="12">
        <v>30</v>
      </c>
      <c r="E30" s="12" t="s">
        <v>203</v>
      </c>
      <c r="F30" s="12" t="s">
        <v>19</v>
      </c>
      <c r="G30" s="12" t="s">
        <v>22</v>
      </c>
      <c r="H30" s="11" t="s">
        <v>42</v>
      </c>
      <c r="I30" s="12" t="s">
        <v>37</v>
      </c>
      <c r="J30" s="13" t="str">
        <f>ownlan</f>
        <v>英语</v>
      </c>
      <c r="K30" s="12" t="s">
        <v>16</v>
      </c>
      <c r="L30" s="12" t="s">
        <v>44</v>
      </c>
      <c r="M30" s="60"/>
      <c r="N30" s="60" t="s">
        <v>147</v>
      </c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</row>
  </sheetData>
  <sortState ref="A2:AA180">
    <sortCondition ref="A2:A180"/>
  </sortState>
  <mergeCells count="1">
    <mergeCell ref="C1:D1"/>
  </mergeCells>
  <phoneticPr fontId="4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activeCell="A2" sqref="A2"/>
    </sheetView>
  </sheetViews>
  <sheetFormatPr defaultRowHeight="14.25" x14ac:dyDescent="0.15"/>
  <cols>
    <col min="1" max="4" width="6" style="16" bestFit="1" customWidth="1"/>
    <col min="5" max="16384" width="9" style="16"/>
  </cols>
  <sheetData>
    <row r="1" spans="1:4" s="17" customFormat="1" x14ac:dyDescent="0.15">
      <c r="A1" s="17" t="s">
        <v>74</v>
      </c>
      <c r="B1" s="17" t="s">
        <v>75</v>
      </c>
      <c r="C1" s="17" t="s">
        <v>62</v>
      </c>
      <c r="D1" s="17" t="s">
        <v>84</v>
      </c>
    </row>
    <row r="6" spans="1:4" s="23" customFormat="1" x14ac:dyDescent="0.15"/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3"/>
  <sheetViews>
    <sheetView workbookViewId="0">
      <selection activeCell="A2" sqref="A2"/>
    </sheetView>
  </sheetViews>
  <sheetFormatPr defaultRowHeight="14.25" x14ac:dyDescent="0.15"/>
  <cols>
    <col min="1" max="1" width="8.125" style="16" bestFit="1" customWidth="1"/>
    <col min="2" max="2" width="7.5" style="44" bestFit="1" customWidth="1"/>
    <col min="3" max="3" width="3.5" style="40" bestFit="1" customWidth="1"/>
    <col min="4" max="4" width="3.5" style="41" bestFit="1" customWidth="1"/>
    <col min="5" max="5" width="7.375" style="16" customWidth="1"/>
    <col min="6" max="16384" width="9" style="16"/>
  </cols>
  <sheetData>
    <row r="1" spans="1:11" s="17" customFormat="1" x14ac:dyDescent="0.15">
      <c r="A1" s="17" t="s">
        <v>69</v>
      </c>
      <c r="B1" s="95" t="s">
        <v>70</v>
      </c>
      <c r="C1" s="95"/>
      <c r="D1" s="95"/>
      <c r="E1" s="17" t="s">
        <v>71</v>
      </c>
    </row>
    <row r="2" spans="1:11" s="26" customFormat="1" ht="13.5" x14ac:dyDescent="0.15">
      <c r="B2" s="30"/>
      <c r="C2" s="33"/>
      <c r="D2" s="37"/>
    </row>
    <row r="3" spans="1:11" s="26" customFormat="1" ht="13.5" x14ac:dyDescent="0.15">
      <c r="B3" s="30"/>
      <c r="C3" s="33"/>
      <c r="D3" s="37"/>
      <c r="K3" s="6"/>
    </row>
    <row r="4" spans="1:11" s="26" customFormat="1" ht="13.5" x14ac:dyDescent="0.15">
      <c r="B4" s="30"/>
      <c r="C4" s="33"/>
      <c r="D4" s="37"/>
      <c r="K4" s="6"/>
    </row>
    <row r="5" spans="1:11" s="26" customFormat="1" ht="13.5" x14ac:dyDescent="0.15">
      <c r="B5" s="30"/>
      <c r="C5" s="33"/>
      <c r="D5" s="37"/>
    </row>
    <row r="6" spans="1:11" s="26" customFormat="1" ht="13.5" x14ac:dyDescent="0.15">
      <c r="B6" s="30"/>
      <c r="C6" s="33"/>
      <c r="D6" s="37"/>
    </row>
    <row r="7" spans="1:11" s="27" customFormat="1" ht="13.5" x14ac:dyDescent="0.15">
      <c r="B7" s="30"/>
      <c r="C7" s="33"/>
      <c r="D7" s="37"/>
    </row>
    <row r="8" spans="1:11" s="27" customFormat="1" ht="13.5" x14ac:dyDescent="0.15">
      <c r="B8" s="30"/>
      <c r="C8" s="33"/>
      <c r="D8" s="37"/>
    </row>
    <row r="9" spans="1:11" s="27" customFormat="1" ht="13.5" x14ac:dyDescent="0.15">
      <c r="B9" s="30"/>
      <c r="C9" s="33"/>
      <c r="D9" s="37"/>
    </row>
    <row r="10" spans="1:11" s="27" customFormat="1" ht="13.5" x14ac:dyDescent="0.15">
      <c r="B10" s="30"/>
      <c r="C10" s="33"/>
      <c r="D10" s="37"/>
    </row>
    <row r="11" spans="1:11" s="26" customFormat="1" ht="13.5" x14ac:dyDescent="0.15">
      <c r="B11" s="30"/>
      <c r="C11" s="33"/>
      <c r="D11" s="37"/>
    </row>
    <row r="12" spans="1:11" s="26" customFormat="1" ht="13.5" x14ac:dyDescent="0.15">
      <c r="B12" s="30"/>
      <c r="C12" s="33"/>
      <c r="D12" s="37"/>
    </row>
    <row r="13" spans="1:11" s="28" customFormat="1" ht="13.5" x14ac:dyDescent="0.15">
      <c r="B13" s="31"/>
      <c r="C13" s="34"/>
      <c r="D13" s="38"/>
    </row>
  </sheetData>
  <mergeCells count="1">
    <mergeCell ref="B1:D1"/>
  </mergeCells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4"/>
  <sheetViews>
    <sheetView workbookViewId="0">
      <selection activeCell="A3" sqref="A3"/>
    </sheetView>
  </sheetViews>
  <sheetFormatPr defaultRowHeight="14.25" x14ac:dyDescent="0.15"/>
  <cols>
    <col min="1" max="1" width="8.125" style="25" bestFit="1" customWidth="1"/>
    <col min="2" max="2" width="11.625" style="25" bestFit="1" customWidth="1"/>
    <col min="3" max="3" width="8.125" style="25" bestFit="1" customWidth="1"/>
    <col min="4" max="4" width="7.5" style="25" bestFit="1" customWidth="1"/>
    <col min="5" max="5" width="6" style="25" bestFit="1" customWidth="1"/>
    <col min="6" max="6" width="10.25" style="25" bestFit="1" customWidth="1"/>
    <col min="7" max="7" width="6" style="25" bestFit="1" customWidth="1"/>
    <col min="8" max="8" width="8.125" style="25" bestFit="1" customWidth="1"/>
    <col min="9" max="9" width="7.5" style="43" bestFit="1" customWidth="1"/>
    <col min="10" max="10" width="3.5" style="35" bestFit="1" customWidth="1"/>
    <col min="11" max="11" width="3.5" style="39" bestFit="1" customWidth="1"/>
    <col min="12" max="12" width="8.875" style="25" customWidth="1"/>
    <col min="13" max="16384" width="9" style="16"/>
  </cols>
  <sheetData>
    <row r="1" spans="1:12" s="21" customFormat="1" x14ac:dyDescent="0.15">
      <c r="A1" s="21" t="s">
        <v>66</v>
      </c>
      <c r="B1" s="21" t="s">
        <v>67</v>
      </c>
      <c r="C1" s="21" t="s">
        <v>68</v>
      </c>
      <c r="D1" s="21" t="s">
        <v>72</v>
      </c>
      <c r="E1" s="21" t="s">
        <v>73</v>
      </c>
      <c r="F1" s="21" t="s">
        <v>81</v>
      </c>
      <c r="G1" s="21" t="s">
        <v>79</v>
      </c>
      <c r="H1" s="21" t="s">
        <v>80</v>
      </c>
      <c r="I1" s="96" t="s">
        <v>85</v>
      </c>
      <c r="J1" s="96"/>
      <c r="K1" s="96"/>
      <c r="L1" s="21" t="s">
        <v>83</v>
      </c>
    </row>
    <row r="2" spans="1:12" s="29" customFormat="1" ht="13.5" x14ac:dyDescent="0.15">
      <c r="A2" s="29" t="s">
        <v>107</v>
      </c>
      <c r="B2" s="29" t="s">
        <v>108</v>
      </c>
      <c r="C2" s="29">
        <f>brawl</f>
        <v>25</v>
      </c>
      <c r="D2" s="29" t="s">
        <v>113</v>
      </c>
      <c r="E2" s="29" t="s">
        <v>109</v>
      </c>
      <c r="F2" s="29">
        <v>1</v>
      </c>
      <c r="G2" s="29" t="s">
        <v>110</v>
      </c>
      <c r="H2" s="29" t="s">
        <v>111</v>
      </c>
      <c r="I2" s="42"/>
      <c r="J2" s="32"/>
      <c r="K2" s="36"/>
    </row>
    <row r="3" spans="1:12" s="26" customFormat="1" ht="13.5" x14ac:dyDescent="0.15">
      <c r="A3" s="27"/>
      <c r="I3" s="30"/>
      <c r="J3" s="33"/>
      <c r="K3" s="37"/>
    </row>
    <row r="4" spans="1:12" s="28" customFormat="1" ht="13.5" x14ac:dyDescent="0.15">
      <c r="I4" s="31"/>
      <c r="J4" s="34"/>
      <c r="K4" s="38"/>
    </row>
  </sheetData>
  <mergeCells count="1">
    <mergeCell ref="I1:K1"/>
  </mergeCells>
  <phoneticPr fontId="4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"/>
  <sheetViews>
    <sheetView workbookViewId="0">
      <selection activeCell="A2" sqref="A2"/>
    </sheetView>
  </sheetViews>
  <sheetFormatPr defaultRowHeight="14.25" x14ac:dyDescent="0.15"/>
  <cols>
    <col min="1" max="2" width="6" style="18" bestFit="1" customWidth="1"/>
    <col min="3" max="16384" width="9" style="18"/>
  </cols>
  <sheetData>
    <row r="1" spans="1:2" s="17" customFormat="1" x14ac:dyDescent="0.15">
      <c r="A1" s="17" t="s">
        <v>86</v>
      </c>
      <c r="B1" s="17" t="s">
        <v>71</v>
      </c>
    </row>
    <row r="2" spans="1:2" s="24" customFormat="1" x14ac:dyDescent="0.15"/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"/>
  <sheetViews>
    <sheetView workbookViewId="0">
      <selection activeCell="H3" sqref="H3:J3"/>
    </sheetView>
  </sheetViews>
  <sheetFormatPr defaultRowHeight="13.5" x14ac:dyDescent="0.15"/>
  <cols>
    <col min="1" max="1" width="10" style="5" customWidth="1"/>
    <col min="2" max="2" width="15" customWidth="1"/>
    <col min="3" max="3" width="12.625" customWidth="1"/>
  </cols>
  <sheetData>
    <row r="1" spans="1:11" ht="14.25" x14ac:dyDescent="0.15">
      <c r="A1" s="19" t="s">
        <v>3</v>
      </c>
      <c r="B1" s="19" t="s">
        <v>4</v>
      </c>
      <c r="C1" s="19" t="s">
        <v>5</v>
      </c>
      <c r="D1" s="19" t="s">
        <v>6</v>
      </c>
      <c r="E1" s="2" t="s">
        <v>87</v>
      </c>
      <c r="G1" s="99" t="s">
        <v>132</v>
      </c>
      <c r="H1" s="99"/>
      <c r="I1" s="99"/>
      <c r="J1" s="99"/>
      <c r="K1" s="100"/>
    </row>
    <row r="2" spans="1:11" ht="14.25" thickBot="1" x14ac:dyDescent="0.2">
      <c r="A2" s="20">
        <v>0</v>
      </c>
      <c r="B2" s="4">
        <v>0</v>
      </c>
      <c r="C2" s="6" t="s">
        <v>127</v>
      </c>
      <c r="D2" s="6" t="s">
        <v>128</v>
      </c>
      <c r="G2" s="47"/>
      <c r="H2" s="47"/>
      <c r="I2" s="47"/>
      <c r="J2" s="47"/>
      <c r="K2" s="48"/>
    </row>
    <row r="3" spans="1:11" ht="14.25" x14ac:dyDescent="0.15">
      <c r="A3" s="19" t="s">
        <v>7</v>
      </c>
      <c r="B3" s="8">
        <v>10</v>
      </c>
      <c r="C3" s="8">
        <v>1</v>
      </c>
      <c r="D3" s="4" t="s">
        <v>129</v>
      </c>
      <c r="G3" s="49" t="s">
        <v>133</v>
      </c>
      <c r="H3" s="97">
        <v>8</v>
      </c>
      <c r="I3" s="98"/>
      <c r="J3" s="98"/>
      <c r="K3" s="48"/>
    </row>
    <row r="4" spans="1:11" ht="14.25" x14ac:dyDescent="0.15">
      <c r="A4" s="19" t="s">
        <v>8</v>
      </c>
      <c r="B4" s="8">
        <v>20</v>
      </c>
      <c r="C4" s="8">
        <v>10</v>
      </c>
      <c r="D4" s="4" t="s">
        <v>131</v>
      </c>
      <c r="G4" s="47"/>
      <c r="H4" s="50"/>
      <c r="I4" s="50"/>
      <c r="J4" s="50"/>
      <c r="K4" s="48"/>
    </row>
    <row r="5" spans="1:11" ht="14.25" x14ac:dyDescent="0.15">
      <c r="A5" s="19" t="s">
        <v>9</v>
      </c>
      <c r="B5" s="8">
        <v>20</v>
      </c>
      <c r="C5" s="8">
        <v>12</v>
      </c>
      <c r="D5" s="4" t="s">
        <v>130</v>
      </c>
      <c r="G5" s="49" t="s">
        <v>134</v>
      </c>
      <c r="H5" s="51">
        <f>INT(H6)</f>
        <v>1</v>
      </c>
      <c r="I5" s="52">
        <f>INT((H6-H5)*20)</f>
        <v>12</v>
      </c>
      <c r="J5" s="53">
        <f>INT(((H6-H5)*20-I5)*12)</f>
        <v>0</v>
      </c>
      <c r="K5" s="48"/>
    </row>
    <row r="6" spans="1:11" ht="14.25" x14ac:dyDescent="0.15">
      <c r="A6" s="19" t="s">
        <v>10</v>
      </c>
      <c r="B6" s="8">
        <v>500</v>
      </c>
      <c r="C6" s="8">
        <v>50</v>
      </c>
      <c r="D6" s="4" t="s">
        <v>125</v>
      </c>
      <c r="G6" s="47"/>
      <c r="H6" s="54">
        <f>H3/5</f>
        <v>1.6</v>
      </c>
      <c r="I6" s="50"/>
      <c r="J6" s="50"/>
      <c r="K6" s="48"/>
    </row>
    <row r="7" spans="1:11" ht="15" thickBot="1" x14ac:dyDescent="0.2">
      <c r="A7" s="19">
        <v>99</v>
      </c>
      <c r="B7" s="3">
        <v>300000</v>
      </c>
      <c r="C7" s="3">
        <v>150000</v>
      </c>
      <c r="D7" s="4" t="s">
        <v>126</v>
      </c>
      <c r="G7" s="55"/>
      <c r="H7" s="56"/>
      <c r="I7" s="56"/>
      <c r="J7" s="56"/>
      <c r="K7" s="57"/>
    </row>
    <row r="8" spans="1:11" ht="14.25" x14ac:dyDescent="0.15">
      <c r="A8" s="1"/>
    </row>
    <row r="9" spans="1:11" x14ac:dyDescent="0.15">
      <c r="F9" s="4"/>
    </row>
    <row r="10" spans="1:11" ht="14.25" x14ac:dyDescent="0.15">
      <c r="A10" s="7"/>
      <c r="B10" s="10"/>
      <c r="C10" s="10"/>
      <c r="F10" s="8"/>
    </row>
    <row r="11" spans="1:11" ht="14.25" x14ac:dyDescent="0.15">
      <c r="A11" s="9"/>
      <c r="B11" s="10"/>
      <c r="C11" s="10"/>
      <c r="F11" s="8"/>
    </row>
    <row r="12" spans="1:11" ht="14.25" x14ac:dyDescent="0.15">
      <c r="A12" s="1"/>
      <c r="B12" s="10"/>
      <c r="C12" s="10"/>
      <c r="F12" s="8"/>
    </row>
    <row r="13" spans="1:11" ht="14.25" x14ac:dyDescent="0.15">
      <c r="A13" s="1"/>
      <c r="B13" s="10"/>
      <c r="C13" s="10"/>
      <c r="F13" s="8"/>
    </row>
    <row r="14" spans="1:11" ht="14.25" x14ac:dyDescent="0.15">
      <c r="A14" s="1"/>
      <c r="B14" s="2"/>
      <c r="C14" s="10"/>
      <c r="F14" s="3"/>
    </row>
  </sheetData>
  <mergeCells count="2">
    <mergeCell ref="H3:J3"/>
    <mergeCell ref="G1:K1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36"/>
  <sheetViews>
    <sheetView workbookViewId="0"/>
  </sheetViews>
  <sheetFormatPr defaultRowHeight="14.25" x14ac:dyDescent="0.15"/>
  <cols>
    <col min="1" max="1" width="39.875" style="22" customWidth="1"/>
    <col min="2" max="16384" width="9" style="22"/>
  </cols>
  <sheetData>
    <row r="1" spans="1:2" x14ac:dyDescent="0.15">
      <c r="A1" s="22" t="str">
        <f>"━━━━"&amp;◆主要表◆!B2&amp;" 角色卡━━━━"</f>
        <v>━━━━[团名] 角色卡━━━━</v>
      </c>
      <c r="B1" s="22" t="str">
        <f>IF(◆主要表◆!D3=0,"无名氏",◆主要表◆!D3&amp;"("&amp;◆主要表◆!D4&amp;")")</f>
        <v>无名氏</v>
      </c>
    </row>
    <row r="2" spans="1:2" x14ac:dyDescent="0.15">
      <c r="A2" s="22" t="str">
        <f>"调查员姓名："&amp;建卡!D3</f>
        <v>调查员姓名：</v>
      </c>
    </row>
    <row r="3" spans="1:2" x14ac:dyDescent="0.15">
      <c r="A3" s="22" t="str">
        <f>"玩家："&amp;建卡!D4</f>
        <v>玩家：</v>
      </c>
    </row>
    <row r="4" spans="1:2" x14ac:dyDescent="0.15">
      <c r="A4" s="22" t="str">
        <f>"职业："&amp;◆主要表◆!D5</f>
        <v>职业：（待定）</v>
      </c>
    </row>
    <row r="5" spans="1:2" x14ac:dyDescent="0.15">
      <c r="A5" s="22" t="str">
        <f>"本职模板："&amp;建卡!D5</f>
        <v>本职模板：（待定）</v>
      </c>
    </row>
    <row r="6" spans="1:2" x14ac:dyDescent="0.15">
      <c r="A6" s="22" t="str">
        <f>"年龄："&amp;建卡!D6</f>
        <v>年龄：20</v>
      </c>
    </row>
    <row r="7" spans="1:2" x14ac:dyDescent="0.15">
      <c r="A7" s="22" t="str">
        <f>"性别："&amp;IF(◆主要表◆!H6=0,"",◆主要表◆!H6)</f>
        <v>性别：</v>
      </c>
    </row>
    <row r="8" spans="1:2" x14ac:dyDescent="0.15">
      <c r="A8" s="22" t="str">
        <f>IF(◆主要表◆!D7="","","居住地："&amp;◆主要表◆!D7)</f>
        <v/>
      </c>
    </row>
    <row r="9" spans="1:2" x14ac:dyDescent="0.15">
      <c r="A9" s="22" t="str">
        <f>IF(◆主要表◆!D8="","","出生地："&amp;◆主要表◆!D8)</f>
        <v/>
      </c>
    </row>
    <row r="10" spans="1:2" x14ac:dyDescent="0.15">
      <c r="A10" s="22" t="str">
        <f>IF(◆主要表◆!B9="","",◆主要表◆!B9&amp;"："&amp;◆主要表◆!D9)</f>
        <v>阶层：工薪</v>
      </c>
    </row>
    <row r="11" spans="1:2" x14ac:dyDescent="0.15">
      <c r="A11" s="22" t="str">
        <f>IF(◆主要表◆!B10="","",◆主要表◆!B10&amp;"："&amp;◆主要表◆!D10)</f>
        <v/>
      </c>
    </row>
    <row r="12" spans="1:2" x14ac:dyDescent="0.15">
      <c r="A12" s="22" t="str">
        <f>IF(◆主要表◆!B11="","",◆主要表◆!B11&amp;"："&amp;◆主要表◆!D11)</f>
        <v/>
      </c>
    </row>
    <row r="13" spans="1:2" x14ac:dyDescent="0.15">
      <c r="A13" s="22" t="str">
        <f>IF(◆主要表◆!B12="","",◆主要表◆!B12&amp;"："&amp;◆主要表◆!D12)</f>
        <v/>
      </c>
    </row>
    <row r="14" spans="1:2" x14ac:dyDescent="0.15">
      <c r="A14" s="22" t="s">
        <v>122</v>
      </c>
    </row>
    <row r="15" spans="1:2" x14ac:dyDescent="0.15">
      <c r="A15" s="22" t="str">
        <f>"力量(STR) "&amp;cstr</f>
        <v>力量(STR) 30</v>
      </c>
    </row>
    <row r="16" spans="1:2" x14ac:dyDescent="0.15">
      <c r="A16" s="22" t="str">
        <f>"体质(CON) "&amp;ccon</f>
        <v>体质(CON) 35</v>
      </c>
    </row>
    <row r="17" spans="1:1" x14ac:dyDescent="0.15">
      <c r="A17" s="22" t="str">
        <f>"体形(SIZ) "&amp;csiz</f>
        <v>体形(SIZ) 40</v>
      </c>
    </row>
    <row r="18" spans="1:1" x14ac:dyDescent="0.15">
      <c r="A18" s="22" t="str">
        <f>"敏捷(DEX) "&amp;cdex</f>
        <v>敏捷(DEX) 45</v>
      </c>
    </row>
    <row r="19" spans="1:1" x14ac:dyDescent="0.15">
      <c r="A19" s="22" t="str">
        <f>"外貌(APP) "&amp;capp</f>
        <v>外貌(APP) 50</v>
      </c>
    </row>
    <row r="20" spans="1:1" x14ac:dyDescent="0.15">
      <c r="A20" s="22" t="str">
        <f>"智力(INT) "&amp;cint</f>
        <v>智力(INT) 55</v>
      </c>
    </row>
    <row r="21" spans="1:1" x14ac:dyDescent="0.15">
      <c r="A21" s="22" t="str">
        <f>"意志(POW) "&amp;cpow</f>
        <v>意志(POW) 60</v>
      </c>
    </row>
    <row r="22" spans="1:1" x14ac:dyDescent="0.15">
      <c r="A22" s="22" t="str">
        <f>"教育(EDU) "&amp;cedu</f>
        <v>教育(EDU) 65</v>
      </c>
    </row>
    <row r="23" spans="1:1" x14ac:dyDescent="0.15">
      <c r="A23" s="22" t="str">
        <f>" HP "&amp;gauge1(hp,maxhp)</f>
        <v xml:space="preserve"> HP [*******]              7/ 7</v>
      </c>
    </row>
    <row r="24" spans="1:1" x14ac:dyDescent="0.15">
      <c r="A24" s="22" t="str">
        <f>" MP "&amp;gauge1(mp,maxmp)</f>
        <v xml:space="preserve"> MP [************]        12/12</v>
      </c>
    </row>
    <row r="25" spans="1:1" x14ac:dyDescent="0.15">
      <c r="A25" s="22" t="str">
        <f>"SAN "&amp;gauge2(san,(99-cthmy))</f>
        <v>SAN [************        ]60/99</v>
      </c>
    </row>
    <row r="26" spans="1:1" x14ac:dyDescent="0.15">
      <c r="A26" s="22" t="str">
        <f>"LUCK"&amp;gauge2(luck,99)</f>
        <v>LUCK[**************      ]70/99</v>
      </c>
    </row>
    <row r="27" spans="1:1" x14ac:dyDescent="0.15">
      <c r="A27" s="22" t="str">
        <f>"移动(MOV) "&amp;◆主要表◆!AB7</f>
        <v>移动(MOV) 8</v>
      </c>
    </row>
    <row r="28" spans="1:1" x14ac:dyDescent="0.15">
      <c r="A28" s="22" t="str">
        <f>"伤害修正(db) "&amp;dmgbonus</f>
        <v>伤害修正(db) -1</v>
      </c>
    </row>
    <row r="29" spans="1:1" x14ac:dyDescent="0.15">
      <c r="A29" s="22" t="str">
        <f>"体格 "&amp;◆主要表◆!AB10</f>
        <v>体格 -1</v>
      </c>
    </row>
    <row r="30" spans="1:1" x14ac:dyDescent="0.15">
      <c r="A30" s="22" t="str">
        <f>IF(◆主要表◆!R12=TRUE,"[重伤]","")&amp;IF(◆主要表◆!T12=TRUE,"[昏迷]","")&amp;IF(◆主要表◆!V12=TRUE,"[濒死]","")&amp;IF(◆主要表◆!X12=TRUE,"[短时疯狂]","")&amp;IF(◆主要表◆!AA12=TRUE,"[不定时疯狂]","")&amp;IF(san&lt;=0,"[永久疯狂]","")&amp;IF(◆主要表◆!M11="","","["&amp;◆主要表◆!M11&amp;"("&amp;◆主要表◆!Q11&amp;")]")&amp;IF(◆主要表◆!M12="","","["&amp;◆主要表◆!M12&amp;"("&amp;◆主要表◆!Q12&amp;")]")</f>
        <v/>
      </c>
    </row>
    <row r="31" spans="1:1" x14ac:dyDescent="0.15">
      <c r="A31" s="22" t="s">
        <v>123</v>
      </c>
    </row>
    <row r="32" spans="1:1" x14ac:dyDescent="0.15">
      <c r="A32" s="22" t="str">
        <f>IF(RIGHT(◆主要表◆!C15,2)="分项","",◆主要表◆!C15&amp;" "&amp;◆主要表◆!H15&amp;"%")</f>
        <v>会计 5%</v>
      </c>
    </row>
    <row r="33" spans="1:1" x14ac:dyDescent="0.15">
      <c r="A33" s="22" t="str">
        <f>IF(RIGHT(◆主要表◆!C16,2)="分项","",◆主要表◆!C16&amp;" "&amp;◆主要表◆!H16&amp;"%")</f>
        <v>驯兽 5%</v>
      </c>
    </row>
    <row r="34" spans="1:1" x14ac:dyDescent="0.15">
      <c r="A34" s="22" t="str">
        <f>IF(RIGHT(◆主要表◆!C17,2)="分项","",◆主要表◆!C17&amp;" "&amp;◆主要表◆!H17&amp;"%")</f>
        <v>人类学 1%</v>
      </c>
    </row>
    <row r="35" spans="1:1" x14ac:dyDescent="0.15">
      <c r="A35" s="22" t="str">
        <f>IF(RIGHT(◆主要表◆!C18,2)="分项","",◆主要表◆!C18&amp;" "&amp;◆主要表◆!H18&amp;"%")</f>
        <v>估价 5%</v>
      </c>
    </row>
    <row r="36" spans="1:1" x14ac:dyDescent="0.15">
      <c r="A36" s="22" t="str">
        <f>IF(RIGHT(◆主要表◆!C19,2)="分项","",◆主要表◆!C19&amp;" "&amp;◆主要表◆!H19&amp;"%")</f>
        <v>考古 1%</v>
      </c>
    </row>
    <row r="37" spans="1:1" x14ac:dyDescent="0.15">
      <c r="A37" s="22" t="str">
        <f>IF(RIGHT(◆主要表◆!C20,2)="分项","",◆主要表◆!C20&amp;" "&amp;◆主要表◆!H20&amp;"%")</f>
        <v/>
      </c>
    </row>
    <row r="38" spans="1:1" x14ac:dyDescent="0.15">
      <c r="A38" s="22" t="str">
        <f>IF(RIGHT(◆主要表◆!C21,2)="分项","",◆主要表◆!C21&amp;" "&amp;◆主要表◆!H21&amp;"%")</f>
        <v/>
      </c>
    </row>
    <row r="39" spans="1:1" x14ac:dyDescent="0.15">
      <c r="A39" s="22" t="str">
        <f>IF(RIGHT(◆主要表◆!C22,2)="分项","",◆主要表◆!C22&amp;" "&amp;◆主要表◆!H22&amp;"%")</f>
        <v/>
      </c>
    </row>
    <row r="40" spans="1:1" x14ac:dyDescent="0.15">
      <c r="A40" s="22" t="str">
        <f>IF(RIGHT(◆主要表◆!C23,2)="分项","",◆主要表◆!C23&amp;" "&amp;◆主要表◆!H23&amp;"%")</f>
        <v>魅惑 15%</v>
      </c>
    </row>
    <row r="41" spans="1:1" x14ac:dyDescent="0.15">
      <c r="A41" s="22" t="str">
        <f>IF(RIGHT(◆主要表◆!C24,2)="分项","",◆主要表◆!C24&amp;" "&amp;◆主要表◆!H24&amp;"%")</f>
        <v>攀爬 20%</v>
      </c>
    </row>
    <row r="42" spans="1:1" x14ac:dyDescent="0.15">
      <c r="A42" s="22" t="str">
        <f>IF(RIGHT(◆主要表◆!C25,2)="分项","",◆主要表◆!C25&amp;" "&amp;◆主要表◆!H25&amp;"%")</f>
        <v>信用 0%</v>
      </c>
    </row>
    <row r="43" spans="1:1" x14ac:dyDescent="0.15">
      <c r="A43" s="22" t="str">
        <f>IF(RIGHT(◆主要表◆!C26,2)="分项","",◆主要表◆!C26&amp;" "&amp;◆主要表◆!H26&amp;"%")</f>
        <v>克苏鲁神话 0%</v>
      </c>
    </row>
    <row r="44" spans="1:1" x14ac:dyDescent="0.15">
      <c r="A44" s="22" t="str">
        <f>IF(RIGHT(◆主要表◆!C27,2)="分项","",◆主要表◆!C27&amp;" "&amp;◆主要表◆!H27&amp;"%")</f>
        <v>乔装 5%</v>
      </c>
    </row>
    <row r="45" spans="1:1" x14ac:dyDescent="0.15">
      <c r="A45" s="22" t="str">
        <f>IF(RIGHT(◆主要表◆!C28,2)="分项","",◆主要表◆!C28&amp;" "&amp;◆主要表◆!H28&amp;"%")</f>
        <v>闪避 22%</v>
      </c>
    </row>
    <row r="46" spans="1:1" x14ac:dyDescent="0.15">
      <c r="A46" s="22" t="str">
        <f>IF(RIGHT(◆主要表◆!C29,2)="分项","",◆主要表◆!C29&amp;" "&amp;◆主要表◆!H29&amp;"%")</f>
        <v>马车驾驶 20%</v>
      </c>
    </row>
    <row r="47" spans="1:1" x14ac:dyDescent="0.15">
      <c r="A47" s="22" t="str">
        <f>IF(RIGHT(◆主要表◆!C30,2)="分项","",◆主要表◆!C30&amp;" "&amp;◆主要表◆!H30&amp;"%")</f>
        <v>话术 5%</v>
      </c>
    </row>
    <row r="48" spans="1:1" x14ac:dyDescent="0.15">
      <c r="A48" s="22" t="str">
        <f>IF(RIGHT(◆主要表◆!C31,2)="分项","",◆主要表◆!C31&amp;" "&amp;◆主要表◆!H31&amp;"%")</f>
        <v>格斗(斗殴) 25%</v>
      </c>
    </row>
    <row r="49" spans="1:1" x14ac:dyDescent="0.15">
      <c r="A49" s="22" t="str">
        <f>IF(RIGHT(◆主要表◆!C32,2)="分项","",◆主要表◆!C32&amp;" "&amp;◆主要表◆!H32&amp;"%")</f>
        <v/>
      </c>
    </row>
    <row r="50" spans="1:1" x14ac:dyDescent="0.15">
      <c r="A50" s="22" t="str">
        <f>IF(RIGHT(◆主要表◆!C33,2)="分项","",◆主要表◆!C33&amp;" "&amp;◆主要表◆!H33&amp;"%")</f>
        <v/>
      </c>
    </row>
    <row r="51" spans="1:1" x14ac:dyDescent="0.15">
      <c r="A51" s="22" t="str">
        <f>IF(RIGHT(◆主要表◆!C34,2)="分项","",◆主要表◆!C34&amp;" "&amp;◆主要表◆!H34&amp;"%")</f>
        <v>射击(手枪) 20%</v>
      </c>
    </row>
    <row r="52" spans="1:1" x14ac:dyDescent="0.15">
      <c r="A52" s="22" t="str">
        <f>IF(RIGHT(◆主要表◆!C35,2)="分项","",◆主要表◆!C35&amp;" "&amp;◆主要表◆!H35&amp;"%")</f>
        <v>射击(步霰) 25%</v>
      </c>
    </row>
    <row r="53" spans="1:1" x14ac:dyDescent="0.15">
      <c r="A53" s="22" t="str">
        <f>IF(RIGHT(◆主要表◆!L15,2)="分项","",◆主要表◆!L15&amp;" "&amp;◆主要表◆!Q15&amp;"%")</f>
        <v/>
      </c>
    </row>
    <row r="54" spans="1:1" x14ac:dyDescent="0.15">
      <c r="A54" s="22" t="str">
        <f>IF(RIGHT(◆主要表◆!L16,2)="分项","",◆主要表◆!L16&amp;" "&amp;◆主要表◆!Q16&amp;"%")</f>
        <v>急救 30%</v>
      </c>
    </row>
    <row r="55" spans="1:1" x14ac:dyDescent="0.15">
      <c r="A55" s="22" t="str">
        <f>IF(RIGHT(◆主要表◆!L17,2)="分项","",◆主要表◆!L17&amp;" "&amp;◆主要表◆!Q17&amp;"%")</f>
        <v>历史 5%</v>
      </c>
    </row>
    <row r="56" spans="1:1" x14ac:dyDescent="0.15">
      <c r="A56" s="22" t="str">
        <f>IF(RIGHT(◆主要表◆!L18,2)="分项","",◆主要表◆!L18&amp;" "&amp;◆主要表◆!Q18&amp;"%")</f>
        <v>恐吓 15%</v>
      </c>
    </row>
    <row r="57" spans="1:1" x14ac:dyDescent="0.15">
      <c r="A57" s="22" t="str">
        <f>IF(RIGHT(◆主要表◆!L19,2)="分项","",◆主要表◆!L19&amp;" "&amp;◆主要表◆!Q19&amp;"%")</f>
        <v>跳跃 20%</v>
      </c>
    </row>
    <row r="58" spans="1:1" x14ac:dyDescent="0.15">
      <c r="A58" s="22" t="str">
        <f>IF(RIGHT(◆主要表◆!L20,2)="分项","",◆主要表◆!L20&amp;" "&amp;◆主要表◆!Q20&amp;"%")</f>
        <v/>
      </c>
    </row>
    <row r="59" spans="1:1" x14ac:dyDescent="0.15">
      <c r="A59" s="22" t="str">
        <f>IF(RIGHT(◆主要表◆!L21,2)="分项","",◆主要表◆!L21&amp;" "&amp;◆主要表◆!Q21&amp;"%")</f>
        <v/>
      </c>
    </row>
    <row r="60" spans="1:1" x14ac:dyDescent="0.15">
      <c r="A60" s="22" t="str">
        <f>IF(RIGHT(◆主要表◆!L22,2)="分项","",◆主要表◆!L22&amp;" "&amp;◆主要表◆!Q22&amp;"%")</f>
        <v/>
      </c>
    </row>
    <row r="61" spans="1:1" x14ac:dyDescent="0.15">
      <c r="A61" s="22" t="str">
        <f>IF(RIGHT(◆主要表◆!L23,2)="分项","",◆主要表◆!L23&amp;" "&amp;◆主要表◆!Q23&amp;"%")</f>
        <v>英语 65%</v>
      </c>
    </row>
    <row r="62" spans="1:1" x14ac:dyDescent="0.15">
      <c r="A62" s="22" t="str">
        <f>IF(RIGHT(◆主要表◆!L24,2)="分项","",◆主要表◆!L24&amp;" "&amp;◆主要表◆!Q24&amp;"%")</f>
        <v>法律 5%</v>
      </c>
    </row>
    <row r="63" spans="1:1" x14ac:dyDescent="0.15">
      <c r="A63" s="22" t="str">
        <f>IF(RIGHT(◆主要表◆!L25,2)="分项","",◆主要表◆!L25&amp;" "&amp;◆主要表◆!Q25&amp;"%")</f>
        <v>图书馆 20%</v>
      </c>
    </row>
    <row r="64" spans="1:1" x14ac:dyDescent="0.15">
      <c r="A64" s="22" t="str">
        <f>IF(RIGHT(◆主要表◆!L26,2)="分项","",◆主要表◆!L26&amp;" "&amp;◆主要表◆!Q26&amp;"%")</f>
        <v>聆听 20%</v>
      </c>
    </row>
    <row r="65" spans="1:1" x14ac:dyDescent="0.15">
      <c r="A65" s="22" t="str">
        <f>IF(RIGHT(◆主要表◆!L27,2)="分项","",◆主要表◆!L27&amp;" "&amp;◆主要表◆!Q27&amp;"%")</f>
        <v>锁匠 1%</v>
      </c>
    </row>
    <row r="66" spans="1:1" x14ac:dyDescent="0.15">
      <c r="A66" s="22" t="str">
        <f>IF(RIGHT(◆主要表◆!L28,2)="分项","",◆主要表◆!L28&amp;" "&amp;◆主要表◆!Q28&amp;"%")</f>
        <v>机修 10%</v>
      </c>
    </row>
    <row r="67" spans="1:1" x14ac:dyDescent="0.15">
      <c r="A67" s="22" t="str">
        <f>IF(RIGHT(◆主要表◆!L29,2)="分项","",◆主要表◆!L29&amp;" "&amp;◆主要表◆!Q29&amp;"%")</f>
        <v>医学 1%</v>
      </c>
    </row>
    <row r="68" spans="1:1" x14ac:dyDescent="0.15">
      <c r="A68" s="22" t="str">
        <f>IF(RIGHT(◆主要表◆!L30,2)="分项","",◆主要表◆!L30&amp;" "&amp;◆主要表◆!Q30&amp;"%")</f>
        <v>自然 10%</v>
      </c>
    </row>
    <row r="69" spans="1:1" x14ac:dyDescent="0.15">
      <c r="A69" s="22" t="str">
        <f>IF(RIGHT(◆主要表◆!L31,2)="分项","",◆主要表◆!L31&amp;" "&amp;◆主要表◆!Q31&amp;"%")</f>
        <v>导航 10%</v>
      </c>
    </row>
    <row r="70" spans="1:1" x14ac:dyDescent="0.15">
      <c r="A70" s="22" t="str">
        <f>IF(RIGHT(◆主要表◆!L32,2)="分项","",◆主要表◆!L32&amp;" "&amp;◆主要表◆!Q32&amp;"%")</f>
        <v>神秘学 5%</v>
      </c>
    </row>
    <row r="71" spans="1:1" x14ac:dyDescent="0.15">
      <c r="A71" s="22" t="str">
        <f>IF(RIGHT(◆主要表◆!L33,2)="分项","",◆主要表◆!L33&amp;" "&amp;◆主要表◆!Q33&amp;"%")</f>
        <v>重机 1%</v>
      </c>
    </row>
    <row r="72" spans="1:1" x14ac:dyDescent="0.15">
      <c r="A72" s="22" t="str">
        <f>IF(RIGHT(◆主要表◆!L34,2)="分项","",◆主要表◆!L34&amp;" "&amp;◆主要表◆!Q34&amp;"%")</f>
        <v>说服 10%</v>
      </c>
    </row>
    <row r="73" spans="1:1" x14ac:dyDescent="0.15">
      <c r="A73" s="22" t="str">
        <f>IF(RIGHT(◆主要表◆!L35,2)="分项","",◆主要表◆!L35&amp;" "&amp;◆主要表◆!Q35&amp;"%")</f>
        <v/>
      </c>
    </row>
    <row r="74" spans="1:1" x14ac:dyDescent="0.15">
      <c r="A74" s="22" t="str">
        <f>IF(OR(◆主要表◆!U15="",RIGHT(◆主要表◆!U15,2)="分项"),"",◆主要表◆!U15&amp;" "&amp;◆主要表◆!Z15&amp;"%")</f>
        <v/>
      </c>
    </row>
    <row r="75" spans="1:1" x14ac:dyDescent="0.15">
      <c r="A75" s="22" t="str">
        <f>IF(OR(◆主要表◆!U16="",RIGHT(◆主要表◆!U16,2)="分项"),"",◆主要表◆!U16&amp;" "&amp;◆主要表◆!Z16&amp;"%")</f>
        <v>心理 10%</v>
      </c>
    </row>
    <row r="76" spans="1:1" x14ac:dyDescent="0.15">
      <c r="A76" s="22" t="str">
        <f>IF(OR(◆主要表◆!U17="",RIGHT(◆主要表◆!U17,2)="分项"),"",◆主要表◆!U17&amp;" "&amp;◆主要表◆!Z17&amp;"%")</f>
        <v>骑乘 5%</v>
      </c>
    </row>
    <row r="77" spans="1:1" x14ac:dyDescent="0.15">
      <c r="A77" s="22" t="str">
        <f>IF(OR(◆主要表◆!U18="",RIGHT(◆主要表◆!U18,2)="分项"),"",◆主要表◆!U18&amp;" "&amp;◆主要表◆!Z18&amp;"%")</f>
        <v/>
      </c>
    </row>
    <row r="78" spans="1:1" x14ac:dyDescent="0.15">
      <c r="A78" s="22" t="str">
        <f>IF(OR(◆主要表◆!U19="",RIGHT(◆主要表◆!U19,2)="分项"),"",◆主要表◆!U19&amp;" "&amp;◆主要表◆!Z19&amp;"%")</f>
        <v/>
      </c>
    </row>
    <row r="79" spans="1:1" x14ac:dyDescent="0.15">
      <c r="A79" s="22" t="str">
        <f>IF(OR(◆主要表◆!U20="",RIGHT(◆主要表◆!U20,2)="分项"),"",◆主要表◆!U20&amp;" "&amp;◆主要表◆!Z20&amp;"%")</f>
        <v/>
      </c>
    </row>
    <row r="80" spans="1:1" x14ac:dyDescent="0.15">
      <c r="A80" s="22" t="str">
        <f>IF(OR(◆主要表◆!U21="",RIGHT(◆主要表◆!U21,2)="分项"),"",◆主要表◆!U21&amp;" "&amp;◆主要表◆!Z21&amp;"%")</f>
        <v>妙手 10%</v>
      </c>
    </row>
    <row r="81" spans="1:1" x14ac:dyDescent="0.15">
      <c r="A81" s="22" t="str">
        <f>IF(OR(◆主要表◆!U22="",RIGHT(◆主要表◆!U22,2)="分项"),"",◆主要表◆!U22&amp;" "&amp;◆主要表◆!Z22&amp;"%")</f>
        <v>侦查 25%</v>
      </c>
    </row>
    <row r="82" spans="1:1" x14ac:dyDescent="0.15">
      <c r="A82" s="22" t="str">
        <f>IF(OR(◆主要表◆!U23="",RIGHT(◆主要表◆!U23,2)="分项"),"",◆主要表◆!U23&amp;" "&amp;◆主要表◆!Z23&amp;"%")</f>
        <v>潜行 20%</v>
      </c>
    </row>
    <row r="83" spans="1:1" x14ac:dyDescent="0.15">
      <c r="A83" s="22" t="str">
        <f>IF(OR(◆主要表◆!U24="",RIGHT(◆主要表◆!U24,2)="分项"),"",◆主要表◆!U24&amp;" "&amp;◆主要表◆!Z24&amp;"%")</f>
        <v/>
      </c>
    </row>
    <row r="84" spans="1:1" x14ac:dyDescent="0.15">
      <c r="A84" s="22" t="str">
        <f>IF(OR(◆主要表◆!U25="",RIGHT(◆主要表◆!U25,2)="分项"),"",◆主要表◆!U25&amp;" "&amp;◆主要表◆!Z25&amp;"%")</f>
        <v>游泳 20%</v>
      </c>
    </row>
    <row r="85" spans="1:1" x14ac:dyDescent="0.15">
      <c r="A85" s="22" t="str">
        <f>IF(OR(◆主要表◆!U26="",RIGHT(◆主要表◆!U26,2)="分项"),"",◆主要表◆!U26&amp;" "&amp;◆主要表◆!Z26&amp;"%")</f>
        <v>投掷 20%</v>
      </c>
    </row>
    <row r="86" spans="1:1" x14ac:dyDescent="0.15">
      <c r="A86" s="22" t="str">
        <f>IF(OR(◆主要表◆!U27="",RIGHT(◆主要表◆!U27,2)="分项"),"",◆主要表◆!U27&amp;" "&amp;◆主要表◆!Z27&amp;"%")</f>
        <v>追踪 10%</v>
      </c>
    </row>
    <row r="87" spans="1:1" x14ac:dyDescent="0.15">
      <c r="A87" s="22" t="str">
        <f>IF(OR(◆主要表◆!U28=0,RIGHT(◆主要表◆!U28,2)="分项"),"",◆主要表◆!U28&amp;" "&amp;◆主要表◆!Z28&amp;"%")</f>
        <v/>
      </c>
    </row>
    <row r="88" spans="1:1" x14ac:dyDescent="0.15">
      <c r="A88" s="22" t="str">
        <f>IF(OR(◆主要表◆!U29=0,RIGHT(◆主要表◆!U29,2)="分项"),"",◆主要表◆!U29&amp;" "&amp;◆主要表◆!Z29&amp;"%")</f>
        <v/>
      </c>
    </row>
    <row r="89" spans="1:1" x14ac:dyDescent="0.15">
      <c r="A89" s="22" t="str">
        <f>IF(OR(◆主要表◆!U30=0,RIGHT(◆主要表◆!U30,2)="分项"),"",◆主要表◆!U30&amp;" "&amp;◆主要表◆!Z30&amp;"%")</f>
        <v/>
      </c>
    </row>
    <row r="90" spans="1:1" x14ac:dyDescent="0.15">
      <c r="A90" s="22" t="str">
        <f>IF(OR(◆主要表◆!U31=0,RIGHT(◆主要表◆!U31,2)="分项"),"",◆主要表◆!U31&amp;" "&amp;◆主要表◆!Z31&amp;"%")</f>
        <v/>
      </c>
    </row>
    <row r="91" spans="1:1" x14ac:dyDescent="0.15">
      <c r="A91" s="22" t="str">
        <f>IF(OR(◆主要表◆!U32=0,RIGHT(◆主要表◆!U32,2)="分项"),"",◆主要表◆!U32&amp;" "&amp;◆主要表◆!Z32&amp;"%")</f>
        <v/>
      </c>
    </row>
    <row r="92" spans="1:1" x14ac:dyDescent="0.15">
      <c r="A92" s="22" t="str">
        <f>IF(OR(◆主要表◆!U33=0,RIGHT(◆主要表◆!U33,2)="分项"),"",◆主要表◆!U33&amp;" "&amp;◆主要表◆!Z33&amp;"%")</f>
        <v/>
      </c>
    </row>
    <row r="93" spans="1:1" x14ac:dyDescent="0.15">
      <c r="A93" s="22" t="str">
        <f>IF(OR(◆主要表◆!U34=0,RIGHT(◆主要表◆!U34,2)="分项"),"",◆主要表◆!U34&amp;" "&amp;◆主要表◆!Z34&amp;"%")</f>
        <v/>
      </c>
    </row>
    <row r="94" spans="1:1" x14ac:dyDescent="0.15">
      <c r="A94" s="22" t="str">
        <f>IF(OR(◆主要表◆!U35=0,RIGHT(◆主要表◆!U35,2)="分项"),"",◆主要表◆!U35&amp;" "&amp;◆主要表◆!Z35&amp;"%")</f>
        <v/>
      </c>
    </row>
    <row r="95" spans="1:1" x14ac:dyDescent="0.15">
      <c r="A95" s="22" t="str">
        <f>"(剩余技能点数"&amp;建卡!F15&amp;"+"&amp;建卡!F17&amp;" 标记技能数"&amp;(COUNTIF(◆主要表◆!B15:B35,"=true")+COUNTIF(◆主要表◆!K15:K35,"=true")+COUNTIF(◆主要表◆!T15:T35,"=true"))&amp;")"</f>
        <v>(剩余技能点数190+110 标记技能数0)</v>
      </c>
    </row>
    <row r="96" spans="1:1" x14ac:dyDescent="0.15">
      <c r="A96" s="22" t="s">
        <v>89</v>
      </c>
    </row>
    <row r="97" spans="1:1" x14ac:dyDescent="0.15">
      <c r="A97" s="22" t="str">
        <f>"徒手"&amp;武器!C2&amp;"%，伤害"&amp;武器!D2</f>
        <v>徒手25%，伤害1D3+db</v>
      </c>
    </row>
    <row r="98" spans="1:1" x14ac:dyDescent="0.15">
      <c r="A98" s="22" t="str">
        <f>IF(ISBLANK(武器!A3),"",武器!A3&amp;武器!C3&amp;"% 伤害"&amp;武器!D3&amp;" 射程"&amp;武器!E3&amp;" 每轮"&amp;武器!F3&amp;" 弹数"&amp;武器!G3&amp;" 故障"&amp;武器!H3)</f>
        <v/>
      </c>
    </row>
    <row r="99" spans="1:1" x14ac:dyDescent="0.15">
      <c r="A99" s="22" t="str">
        <f>IF(ISBLANK(武器!A4),"",武器!A4&amp;武器!C4&amp;"% 伤害"&amp;武器!D4&amp;" 射程"&amp;武器!E4&amp;" 每轮"&amp;武器!F4&amp;" 弹数"&amp;武器!G4&amp;" 故障"&amp;武器!H4)</f>
        <v/>
      </c>
    </row>
    <row r="100" spans="1:1" x14ac:dyDescent="0.15">
      <c r="A100" s="22" t="s">
        <v>90</v>
      </c>
    </row>
    <row r="101" spans="1:1" x14ac:dyDescent="0.15">
      <c r="A101" s="22" t="str">
        <f>IF(◆主要表◆!F38="","",◆主要表◆!B38&amp;"："&amp;◆主要表◆!F38)</f>
        <v/>
      </c>
    </row>
    <row r="102" spans="1:1" x14ac:dyDescent="0.15">
      <c r="A102" s="22" t="str">
        <f>IF(◆主要表◆!F39="","",◆主要表◆!B39&amp;"："&amp;◆主要表◆!F39)</f>
        <v/>
      </c>
    </row>
    <row r="103" spans="1:1" x14ac:dyDescent="0.15">
      <c r="A103" s="22" t="str">
        <f>IF(◆主要表◆!F40="","",◆主要表◆!B40&amp;"："&amp;◆主要表◆!F40)</f>
        <v/>
      </c>
    </row>
    <row r="104" spans="1:1" x14ac:dyDescent="0.15">
      <c r="A104" s="22" t="str">
        <f>IF(◆主要表◆!F41="","",◆主要表◆!B41&amp;"："&amp;◆主要表◆!F41)</f>
        <v/>
      </c>
    </row>
    <row r="105" spans="1:1" x14ac:dyDescent="0.15">
      <c r="A105" s="22" t="str">
        <f>IF(◆主要表◆!F42="","",◆主要表◆!B42&amp;"："&amp;◆主要表◆!F42)</f>
        <v/>
      </c>
    </row>
    <row r="106" spans="1:1" x14ac:dyDescent="0.15">
      <c r="A106" s="22" t="str">
        <f>IF(◆主要表◆!F43="","",◆主要表◆!B43&amp;"："&amp;◆主要表◆!F43)</f>
        <v/>
      </c>
    </row>
    <row r="107" spans="1:1" x14ac:dyDescent="0.15">
      <c r="A107" s="22" t="str">
        <f>IF(◆主要表◆!F44="","",◆主要表◆!B44&amp;"："&amp;◆主要表◆!F44)</f>
        <v/>
      </c>
    </row>
    <row r="108" spans="1:1" x14ac:dyDescent="0.15">
      <c r="A108" s="22" t="str">
        <f>IF(◆主要表◆!F45="","",◆主要表◆!B45&amp;"："&amp;◆主要表◆!F45)</f>
        <v/>
      </c>
    </row>
    <row r="109" spans="1:1" x14ac:dyDescent="0.15">
      <c r="A109" s="22" t="str">
        <f>IF(◆主要表◆!F46="","",◆主要表◆!B46&amp;"："&amp;◆主要表◆!F46)</f>
        <v/>
      </c>
    </row>
    <row r="110" spans="1:1" x14ac:dyDescent="0.15">
      <c r="A110" s="22" t="str">
        <f>IF(◆主要表◆!F47="","",◆主要表◆!B47&amp;"："&amp;◆主要表◆!F47)</f>
        <v/>
      </c>
    </row>
    <row r="111" spans="1:1" x14ac:dyDescent="0.15">
      <c r="A111" s="22" t="str">
        <f>IF(建卡!C28="","","经历包"&amp;"："&amp;建卡!C28)</f>
        <v/>
      </c>
    </row>
    <row r="112" spans="1:1" x14ac:dyDescent="0.15">
      <c r="A112" s="22" t="s">
        <v>120</v>
      </c>
    </row>
    <row r="113" spans="1:1" x14ac:dyDescent="0.15">
      <c r="A113" s="22" t="str">
        <f>"消费水平："&amp;◆主要表◆!AF34</f>
        <v>消费水平：5p</v>
      </c>
    </row>
    <row r="114" spans="1:1" x14ac:dyDescent="0.15">
      <c r="A114" s="22" t="str">
        <f>"现金：￡"&amp;◆主要表◆!AF35&amp;" "&amp;◆主要表◆!AH35&amp;"s "&amp;◆主要表◆!AI35&amp;"p"</f>
        <v>现金：￡0 5s 0p</v>
      </c>
    </row>
    <row r="115" spans="1:1" x14ac:dyDescent="0.15">
      <c r="A115" s="22" t="str">
        <f>"资产："&amp;建卡!V49</f>
        <v>资产：￡0</v>
      </c>
    </row>
    <row r="116" spans="1:1" x14ac:dyDescent="0.15">
      <c r="A116" s="22">
        <f>道具!A2</f>
        <v>0</v>
      </c>
    </row>
    <row r="117" spans="1:1" x14ac:dyDescent="0.15">
      <c r="A117" s="22">
        <f>道具!A3</f>
        <v>0</v>
      </c>
    </row>
    <row r="118" spans="1:1" x14ac:dyDescent="0.15">
      <c r="A118" s="22">
        <f>道具!A4</f>
        <v>0</v>
      </c>
    </row>
    <row r="119" spans="1:1" x14ac:dyDescent="0.15">
      <c r="A119" s="22">
        <f>道具!A5</f>
        <v>0</v>
      </c>
    </row>
    <row r="120" spans="1:1" x14ac:dyDescent="0.15">
      <c r="A120" s="22">
        <f>道具!A6</f>
        <v>0</v>
      </c>
    </row>
    <row r="121" spans="1:1" x14ac:dyDescent="0.15">
      <c r="A121" s="22">
        <f>道具!A7</f>
        <v>0</v>
      </c>
    </row>
    <row r="122" spans="1:1" x14ac:dyDescent="0.15">
      <c r="A122" s="22">
        <f>道具!A8</f>
        <v>0</v>
      </c>
    </row>
    <row r="123" spans="1:1" x14ac:dyDescent="0.15">
      <c r="A123" s="22">
        <f>道具!A9</f>
        <v>0</v>
      </c>
    </row>
    <row r="124" spans="1:1" x14ac:dyDescent="0.15">
      <c r="A124" s="22">
        <f>道具!A10</f>
        <v>0</v>
      </c>
    </row>
    <row r="125" spans="1:1" x14ac:dyDescent="0.15">
      <c r="A125" s="22">
        <f>道具!A11</f>
        <v>0</v>
      </c>
    </row>
    <row r="126" spans="1:1" x14ac:dyDescent="0.15">
      <c r="A126" s="22">
        <f>道具!A12</f>
        <v>0</v>
      </c>
    </row>
    <row r="127" spans="1:1" x14ac:dyDescent="0.15">
      <c r="A127" s="22">
        <f>道具!A13</f>
        <v>0</v>
      </c>
    </row>
    <row r="128" spans="1:1" x14ac:dyDescent="0.15">
      <c r="A128" s="22" t="s">
        <v>91</v>
      </c>
    </row>
    <row r="129" spans="1:1" x14ac:dyDescent="0.15">
      <c r="A129" s="22" t="str">
        <f>IF(ISBLANK(伙伴!A2),"",伙伴!A2&amp;"，"&amp;伙伴!C2)</f>
        <v/>
      </c>
    </row>
    <row r="130" spans="1:1" x14ac:dyDescent="0.15">
      <c r="A130" s="22" t="str">
        <f>IF(ISBLANK(伙伴!A3),"",伙伴!A3&amp;"，"&amp;伙伴!C3)</f>
        <v/>
      </c>
    </row>
    <row r="131" spans="1:1" x14ac:dyDescent="0.15">
      <c r="A131" s="22" t="str">
        <f>IF(ISBLANK(伙伴!A4),"",伙伴!A4&amp;"，"&amp;伙伴!C4)</f>
        <v/>
      </c>
    </row>
    <row r="132" spans="1:1" x14ac:dyDescent="0.15">
      <c r="A132" s="22" t="str">
        <f>IF(ISBLANK(伙伴!A5),"",伙伴!A5&amp;"，"&amp;伙伴!C5)</f>
        <v/>
      </c>
    </row>
    <row r="133" spans="1:1" x14ac:dyDescent="0.15">
      <c r="A133" s="22" t="str">
        <f>IF(ISBLANK(伙伴!A6),"",伙伴!A6&amp;"，"&amp;伙伴!C6)</f>
        <v/>
      </c>
    </row>
    <row r="134" spans="1:1" x14ac:dyDescent="0.15">
      <c r="A134" s="22" t="s">
        <v>121</v>
      </c>
    </row>
    <row r="135" spans="1:1" x14ac:dyDescent="0.15">
      <c r="A135" s="22" t="str">
        <f>LEFT(建卡!B63,255)</f>
        <v/>
      </c>
    </row>
    <row r="136" spans="1:1" x14ac:dyDescent="0.15">
      <c r="A136" s="22" t="s">
        <v>92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export_txt">
                <anchor moveWithCells="1" sizeWithCells="1">
                  <from>
                    <xdr:col>1</xdr:col>
                    <xdr:colOff>85725</xdr:colOff>
                    <xdr:row>2</xdr:row>
                    <xdr:rowOff>47625</xdr:rowOff>
                  </from>
                  <to>
                    <xdr:col>2</xdr:col>
                    <xdr:colOff>609600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28</vt:i4>
      </vt:variant>
    </vt:vector>
  </HeadingPairs>
  <TitlesOfParts>
    <vt:vector size="37" baseType="lpstr">
      <vt:lpstr>建卡</vt:lpstr>
      <vt:lpstr>◆主要表◆</vt:lpstr>
      <vt:lpstr>本职技能</vt:lpstr>
      <vt:lpstr>伙伴</vt:lpstr>
      <vt:lpstr>道具</vt:lpstr>
      <vt:lpstr>武器</vt:lpstr>
      <vt:lpstr>注释</vt:lpstr>
      <vt:lpstr>￡</vt:lpstr>
      <vt:lpstr>TXT导出</vt:lpstr>
      <vt:lpstr>age</vt:lpstr>
      <vt:lpstr>app</vt:lpstr>
      <vt:lpstr>brawl</vt:lpstr>
      <vt:lpstr>capp</vt:lpstr>
      <vt:lpstr>ccon</vt:lpstr>
      <vt:lpstr>cdex</vt:lpstr>
      <vt:lpstr>cedu</vt:lpstr>
      <vt:lpstr>cint</vt:lpstr>
      <vt:lpstr>classes</vt:lpstr>
      <vt:lpstr>con</vt:lpstr>
      <vt:lpstr>cpow</vt:lpstr>
      <vt:lpstr>crd</vt:lpstr>
      <vt:lpstr>csiz</vt:lpstr>
      <vt:lpstr>cstr</vt:lpstr>
      <vt:lpstr>cthmy</vt:lpstr>
      <vt:lpstr>dex</vt:lpstr>
      <vt:lpstr>dodge</vt:lpstr>
      <vt:lpstr>edu</vt:lpstr>
      <vt:lpstr>hp</vt:lpstr>
      <vt:lpstr>int</vt:lpstr>
      <vt:lpstr>luck</vt:lpstr>
      <vt:lpstr>mp</vt:lpstr>
      <vt:lpstr>ownlan</vt:lpstr>
      <vt:lpstr>ownlan_m</vt:lpstr>
      <vt:lpstr>pow</vt:lpstr>
      <vt:lpstr>san</vt:lpstr>
      <vt:lpstr>siz</vt:lpstr>
      <vt:lpstr>str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克苏鲁的呼唤七版调查员手册角色卡</dc:title>
  <dc:creator>粉毛提督七宫涟</dc:creator>
  <cp:lastModifiedBy>粉毛提督七宫涟</cp:lastModifiedBy>
  <cp:lastPrinted>2015-09-11T08:49:08Z</cp:lastPrinted>
  <dcterms:created xsi:type="dcterms:W3CDTF">2015-09-11T02:42:47Z</dcterms:created>
  <dcterms:modified xsi:type="dcterms:W3CDTF">2016-07-24T07:50:28Z</dcterms:modified>
  <cp:version>1.5</cp:version>
</cp:coreProperties>
</file>